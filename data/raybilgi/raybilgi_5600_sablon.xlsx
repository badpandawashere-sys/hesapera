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363" firstSheet="0" activeTab="0" autoFilterDateGrouping="1"/>
  </bookViews>
  <sheets>
    <sheet xmlns:r="http://schemas.openxmlformats.org/officeDocument/2006/relationships" name="5600M" sheetId="1" state="visible" r:id="rId1"/>
  </sheets>
  <externalReferences>
    <externalReference xmlns:r="http://schemas.openxmlformats.org/officeDocument/2006/relationships" r:id="rId2"/>
  </externalReferences>
  <definedNames>
    <definedName name="isak">[1]Sayfa2!$B:$M</definedName>
    <definedName name="_xlnm.Print_Area" localSheetId="0">'5600M'!$B$2:$S$76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0000000"/>
    <numFmt numFmtId="165" formatCode="dd/mm/yyyy"/>
  </numFmts>
  <fonts count="50">
    <font>
      <name val="Bahnschrift SemiLight SemiConde"/>
      <charset val="162"/>
      <family val="2"/>
      <color theme="1"/>
      <sz val="10"/>
    </font>
    <font>
      <name val="Bahnschrift"/>
      <charset val="162"/>
      <family val="2"/>
      <color theme="0"/>
      <sz val="12"/>
    </font>
    <font>
      <name val="Arial Tur"/>
      <charset val="162"/>
      <sz val="10"/>
    </font>
    <font>
      <name val="Times New Roman"/>
      <charset val="162"/>
      <family val="1"/>
      <b val="1"/>
      <color theme="0"/>
      <sz val="8"/>
    </font>
    <font>
      <name val="Bahnschrift"/>
      <charset val="162"/>
      <family val="2"/>
      <color theme="0"/>
      <sz val="16"/>
    </font>
    <font>
      <name val="Bahnschrift"/>
      <charset val="162"/>
      <family val="2"/>
      <color theme="1"/>
      <sz val="11"/>
    </font>
    <font>
      <name val="Bahnschrift"/>
      <charset val="162"/>
      <family val="2"/>
      <color rgb="FF008000"/>
      <sz val="11"/>
    </font>
    <font>
      <name val="Bahnschrift"/>
      <charset val="162"/>
      <family val="2"/>
      <color rgb="FFC00000"/>
      <sz val="11"/>
    </font>
    <font>
      <name val="Times New Roman"/>
      <charset val="162"/>
      <family val="1"/>
      <color theme="1"/>
      <sz val="10"/>
    </font>
    <font>
      <name val="Bahnschrift"/>
      <charset val="162"/>
      <family val="2"/>
      <color theme="1"/>
      <sz val="8"/>
    </font>
    <font>
      <name val="Rockwell"/>
      <family val="1"/>
      <color theme="1"/>
      <sz val="10"/>
    </font>
    <font>
      <name val="Bahnschrift"/>
      <charset val="162"/>
      <family val="2"/>
      <color theme="1"/>
      <sz val="10"/>
    </font>
    <font>
      <name val="Rockwell"/>
      <family val="1"/>
      <b val="1"/>
      <color theme="1"/>
      <sz val="9"/>
    </font>
    <font>
      <name val="Bahnschrift"/>
      <charset val="162"/>
      <family val="2"/>
      <b val="1"/>
      <color theme="1"/>
      <sz val="8"/>
    </font>
    <font>
      <name val="Cambria"/>
      <charset val="162"/>
      <family val="1"/>
      <b val="1"/>
      <color theme="1"/>
      <sz val="12"/>
    </font>
    <font>
      <name val="Bahnschrift SemiLight SemiConde"/>
      <charset val="162"/>
      <family val="2"/>
      <color theme="9" tint="0.3999755851924192"/>
      <sz val="10"/>
    </font>
    <font>
      <name val="Bahnschrift SemiLight SemiConde"/>
      <charset val="162"/>
      <family val="2"/>
      <color rgb="FF75BDB4"/>
      <sz val="10"/>
    </font>
    <font>
      <name val="Century Gothic"/>
      <charset val="162"/>
      <family val="2"/>
      <i val="1"/>
      <color rgb="FFFF0000"/>
      <sz val="12"/>
    </font>
    <font>
      <name val="Century Gothic"/>
      <charset val="162"/>
      <family val="2"/>
      <b val="1"/>
      <color theme="1"/>
      <sz val="14"/>
    </font>
    <font>
      <name val="Century Gothic"/>
      <charset val="162"/>
      <family val="2"/>
      <b val="1"/>
      <color rgb="FF0000FF"/>
      <sz val="14"/>
    </font>
    <font>
      <name val="Rockwell"/>
      <charset val="162"/>
      <family val="1"/>
      <color theme="1"/>
      <sz val="14"/>
    </font>
    <font>
      <name val="Calibri"/>
      <charset val="162"/>
      <family val="2"/>
      <color theme="1"/>
      <sz val="12"/>
    </font>
    <font>
      <name val="Calibri"/>
      <charset val="162"/>
      <family val="2"/>
      <b val="1"/>
      <color theme="1"/>
      <sz val="10"/>
    </font>
    <font>
      <name val="Calibri"/>
      <charset val="162"/>
      <family val="2"/>
      <color theme="1"/>
      <sz val="8"/>
    </font>
    <font>
      <name val="Calibri"/>
      <charset val="162"/>
      <family val="2"/>
      <i val="1"/>
      <color theme="1"/>
      <sz val="8"/>
    </font>
    <font>
      <name val="Calibri"/>
      <charset val="162"/>
      <family val="2"/>
      <i val="1"/>
      <color rgb="FFFF0000"/>
      <sz val="8"/>
    </font>
    <font>
      <name val="Calibri"/>
      <charset val="162"/>
      <family val="2"/>
      <color rgb="FFFF0000"/>
      <sz val="8"/>
    </font>
    <font>
      <name val="Calibri"/>
      <charset val="162"/>
      <family val="2"/>
      <color theme="1"/>
      <sz val="10"/>
    </font>
    <font>
      <name val="Calibri"/>
      <charset val="162"/>
      <family val="2"/>
      <b val="1"/>
      <color theme="1"/>
      <sz val="16"/>
    </font>
    <font>
      <name val="Calibri"/>
      <charset val="162"/>
      <family val="2"/>
      <b val="1"/>
      <color theme="1"/>
      <sz val="14"/>
    </font>
    <font>
      <name val="Calibri"/>
      <charset val="162"/>
      <family val="2"/>
      <b val="1"/>
      <color theme="1"/>
      <sz val="20"/>
    </font>
    <font>
      <name val="Century Gothic"/>
      <charset val="162"/>
      <family val="2"/>
      <b val="1"/>
      <color theme="1"/>
      <sz val="16"/>
    </font>
    <font>
      <name val="Century Gothic"/>
      <charset val="162"/>
      <family val="2"/>
      <b val="1"/>
      <color theme="1"/>
      <sz val="18"/>
    </font>
    <font>
      <name val="Century Gothic"/>
      <charset val="162"/>
      <family val="2"/>
      <b val="1"/>
      <color theme="1"/>
      <sz val="20"/>
    </font>
    <font>
      <name val="Century Gothic"/>
      <charset val="162"/>
      <family val="2"/>
      <color theme="1"/>
      <sz val="20"/>
    </font>
    <font>
      <name val="Century Gothic"/>
      <charset val="162"/>
      <family val="2"/>
      <i val="1"/>
      <color theme="1"/>
      <sz val="20"/>
    </font>
    <font>
      <name val="Calibri"/>
      <charset val="162"/>
      <family val="2"/>
      <color theme="1"/>
      <sz val="16"/>
    </font>
    <font>
      <name val="Calibri"/>
      <charset val="162"/>
      <family val="2"/>
      <color theme="1"/>
      <sz val="18"/>
    </font>
    <font>
      <name val="Century Gothic"/>
      <charset val="162"/>
      <family val="2"/>
      <b val="1"/>
      <color rgb="FFFF0000"/>
      <sz val="16"/>
    </font>
    <font>
      <name val="Century Gothic"/>
      <charset val="162"/>
      <family val="2"/>
      <color theme="1"/>
      <sz val="16"/>
    </font>
    <font>
      <name val="Century Gothic"/>
      <charset val="162"/>
      <family val="2"/>
      <b val="1"/>
      <sz val="16"/>
    </font>
    <font>
      <name val="Century Gothic"/>
      <charset val="162"/>
      <family val="2"/>
      <b val="1"/>
      <color rgb="FFFF0000"/>
      <sz val="18"/>
    </font>
    <font>
      <name val="Calibri"/>
      <charset val="162"/>
      <family val="2"/>
      <b val="1"/>
      <sz val="16"/>
    </font>
    <font>
      <name val="Bahnschrift SemiLight SemiConde"/>
      <charset val="162"/>
      <family val="2"/>
      <b val="1"/>
      <color theme="1"/>
      <sz val="14"/>
    </font>
    <font>
      <name val="Bahnschrift SemiLight SemiConde"/>
      <charset val="162"/>
      <family val="2"/>
      <b val="1"/>
      <color theme="1"/>
      <sz val="16"/>
    </font>
    <font>
      <name val="Calibri"/>
      <charset val="162"/>
      <family val="2"/>
      <b val="1"/>
      <color theme="1"/>
      <sz val="12"/>
    </font>
    <font>
      <name val="Century Gothic"/>
      <charset val="162"/>
      <family val="2"/>
      <b val="1"/>
      <color theme="1"/>
      <sz val="26"/>
    </font>
    <font>
      <name val="Arial Tur"/>
      <charset val="162"/>
      <b val="1"/>
      <color rgb="FF00B0F0"/>
      <sz val="12"/>
    </font>
    <font>
      <name val="Arial Tur"/>
      <charset val="162"/>
      <b val="1"/>
      <color rgb="FF00B0F0"/>
      <sz val="11"/>
    </font>
    <font>
      <name val="Arial Tur"/>
      <charset val="162"/>
      <b val="1"/>
      <color rgb="00000000"/>
      <sz val="14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75BDB4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rgb="FF003300"/>
      </left>
      <right style="thin">
        <color rgb="FF003300"/>
      </right>
      <top style="double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double">
        <color rgb="FF003300"/>
      </top>
      <bottom style="thin">
        <color rgb="FF003300"/>
      </bottom>
      <diagonal/>
    </border>
    <border>
      <left style="thin">
        <color rgb="FF003300"/>
      </left>
      <right style="double">
        <color rgb="FF003300"/>
      </right>
      <top style="double">
        <color rgb="FF003300"/>
      </top>
      <bottom style="thin">
        <color rgb="FF003300"/>
      </bottom>
      <diagonal/>
    </border>
    <border>
      <left style="double">
        <color rgb="FF003300"/>
      </left>
      <right/>
      <top style="double">
        <color rgb="FF003300"/>
      </top>
      <bottom style="double">
        <color rgb="FF003300"/>
      </bottom>
      <diagonal/>
    </border>
    <border>
      <left/>
      <right/>
      <top style="double">
        <color rgb="FF003300"/>
      </top>
      <bottom style="double">
        <color rgb="FF003300"/>
      </bottom>
      <diagonal/>
    </border>
    <border>
      <left/>
      <right style="double">
        <color rgb="FF003300"/>
      </right>
      <top style="double">
        <color rgb="FF003300"/>
      </top>
      <bottom style="double">
        <color rgb="FF003300"/>
      </bottom>
      <diagonal/>
    </border>
    <border>
      <left style="double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double">
        <color rgb="FF003300"/>
      </right>
      <top style="thin">
        <color rgb="FF003300"/>
      </top>
      <bottom style="thin">
        <color rgb="FF003300"/>
      </bottom>
      <diagonal/>
    </border>
    <border>
      <left style="double">
        <color rgb="FF003300"/>
      </left>
      <right style="thin">
        <color rgb="FF003300"/>
      </right>
      <top style="thin">
        <color rgb="FF003300"/>
      </top>
      <bottom style="double">
        <color rgb="FF003300"/>
      </bottom>
      <diagonal/>
    </border>
    <border>
      <left style="thin">
        <color rgb="FF003300"/>
      </left>
      <right style="double">
        <color rgb="FF003300"/>
      </right>
      <top style="thin">
        <color rgb="FF003300"/>
      </top>
      <bottom style="double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double">
        <color rgb="FF0033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theme="1"/>
      </right>
      <top style="dotted">
        <color theme="1"/>
      </top>
      <bottom style="dotted">
        <color theme="1"/>
      </bottom>
      <diagonal/>
    </border>
    <border>
      <left style="hair">
        <color theme="1"/>
      </left>
      <right style="medium">
        <color theme="1"/>
      </right>
      <top style="dotted">
        <color theme="1"/>
      </top>
      <bottom style="dotted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179">
    <xf numFmtId="0" fontId="0" fillId="0" borderId="0" pivotButton="0" quotePrefix="0" xfId="0"/>
    <xf numFmtId="0" fontId="0" fillId="3" borderId="0" pivotButton="0" quotePrefix="0" xfId="0"/>
    <xf numFmtId="0" fontId="3" fillId="3" borderId="17" applyAlignment="1" pivotButton="0" quotePrefix="0" xfId="0">
      <alignment horizontal="center" wrapText="1"/>
    </xf>
    <xf numFmtId="0" fontId="3" fillId="3" borderId="18" applyAlignment="1" pivotButton="0" quotePrefix="0" xfId="0">
      <alignment horizontal="center" wrapText="1"/>
    </xf>
    <xf numFmtId="0" fontId="3" fillId="3" borderId="19" applyAlignment="1" pivotButton="0" quotePrefix="0" xfId="0">
      <alignment horizontal="center" wrapText="1"/>
    </xf>
    <xf numFmtId="0" fontId="0" fillId="3" borderId="0" applyAlignment="1" pivotButton="0" quotePrefix="0" xfId="0">
      <alignment wrapText="1"/>
    </xf>
    <xf numFmtId="0" fontId="4" fillId="3" borderId="20" applyAlignment="1" pivotButton="0" quotePrefix="0" xfId="0">
      <alignment horizontal="center" vertical="center"/>
    </xf>
    <xf numFmtId="0" fontId="1" fillId="3" borderId="21" applyAlignment="1" pivotButton="0" quotePrefix="0" xfId="0">
      <alignment vertical="top"/>
    </xf>
    <xf numFmtId="0" fontId="4" fillId="3" borderId="21" applyAlignment="1" pivotButton="0" quotePrefix="0" xfId="0">
      <alignment horizontal="center" vertical="center"/>
    </xf>
    <xf numFmtId="0" fontId="1" fillId="3" borderId="22" applyAlignment="1" pivotButton="0" quotePrefix="0" xfId="0">
      <alignment vertical="top"/>
    </xf>
    <xf numFmtId="0" fontId="0" fillId="4" borderId="0" pivotButton="0" quotePrefix="0" xfId="0"/>
    <xf numFmtId="0" fontId="5" fillId="4" borderId="23" applyAlignment="1" applyProtection="1" pivotButton="0" quotePrefix="0" xfId="0">
      <alignment horizontal="center"/>
      <protection locked="0" hidden="0"/>
    </xf>
    <xf numFmtId="0" fontId="5" fillId="4" borderId="24" applyProtection="1" pivotButton="0" quotePrefix="0" xfId="0">
      <protection locked="0" hidden="0"/>
    </xf>
    <xf numFmtId="0" fontId="5" fillId="4" borderId="24" applyAlignment="1" applyProtection="1" pivotButton="0" quotePrefix="0" xfId="0">
      <alignment horizontal="center"/>
      <protection locked="0" hidden="0"/>
    </xf>
    <xf numFmtId="0" fontId="6" fillId="4" borderId="24" applyAlignment="1" applyProtection="1" pivotButton="0" quotePrefix="0" xfId="0">
      <alignment horizontal="center"/>
      <protection locked="0" hidden="0"/>
    </xf>
    <xf numFmtId="0" fontId="7" fillId="4" borderId="25" applyAlignment="1" applyProtection="1" pivotButton="0" quotePrefix="0" xfId="0">
      <alignment horizontal="center"/>
      <protection locked="0" hidden="0"/>
    </xf>
    <xf numFmtId="0" fontId="5" fillId="4" borderId="23" applyAlignment="1" pivotButton="0" quotePrefix="0" xfId="0">
      <alignment horizontal="center"/>
    </xf>
    <xf numFmtId="0" fontId="5" fillId="4" borderId="25" applyAlignment="1" pivotButton="0" quotePrefix="0" xfId="0">
      <alignment horizontal="center"/>
    </xf>
    <xf numFmtId="0" fontId="5" fillId="4" borderId="26" applyAlignment="1" pivotButton="0" quotePrefix="0" xfId="0">
      <alignment horizontal="center"/>
    </xf>
    <xf numFmtId="0" fontId="5" fillId="4" borderId="27" applyAlignment="1" pivotButton="0" quotePrefix="0" xfId="0">
      <alignment horizontal="center"/>
    </xf>
    <xf numFmtId="0" fontId="5" fillId="4" borderId="23" applyProtection="1" pivotButton="0" quotePrefix="0" xfId="0">
      <protection locked="0" hidden="0"/>
    </xf>
    <xf numFmtId="0" fontId="5" fillId="4" borderId="26" applyProtection="1" pivotButton="0" quotePrefix="0" xfId="0">
      <protection locked="0" hidden="0"/>
    </xf>
    <xf numFmtId="0" fontId="5" fillId="4" borderId="28" applyAlignment="1" applyProtection="1" pivotButton="0" quotePrefix="0" xfId="0">
      <alignment horizontal="center"/>
      <protection locked="0" hidden="0"/>
    </xf>
    <xf numFmtId="0" fontId="6" fillId="4" borderId="28" applyAlignment="1" applyProtection="1" pivotButton="0" quotePrefix="0" xfId="0">
      <alignment horizontal="center"/>
      <protection locked="0" hidden="0"/>
    </xf>
    <xf numFmtId="0" fontId="7" fillId="4" borderId="27" applyAlignment="1" applyProtection="1" pivotButton="0" quotePrefix="0" xfId="0">
      <alignment horizontal="center"/>
      <protection locked="0" hidden="0"/>
    </xf>
    <xf numFmtId="0" fontId="8" fillId="2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10" fillId="2" borderId="2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1" applyAlignment="1" pivotButton="0" quotePrefix="0" xfId="0">
      <alignment horizontal="center" vertical="center"/>
    </xf>
    <xf numFmtId="0" fontId="11" fillId="2" borderId="12" applyAlignment="1" pivotButton="0" quotePrefix="0" xfId="0">
      <alignment horizontal="center" vertical="center"/>
    </xf>
    <xf numFmtId="0" fontId="11" fillId="2" borderId="13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2" fillId="2" borderId="16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1" fillId="2" borderId="9" pivotButton="0" quotePrefix="0" xfId="0"/>
    <xf numFmtId="0" fontId="11" fillId="2" borderId="10" pivotButton="0" quotePrefix="0" xfId="0"/>
    <xf numFmtId="0" fontId="11" fillId="2" borderId="0" pivotButton="0" quotePrefix="0" xfId="0"/>
    <xf numFmtId="0" fontId="11" fillId="2" borderId="12" pivotButton="0" quotePrefix="0" xfId="0"/>
    <xf numFmtId="0" fontId="9" fillId="2" borderId="0" pivotButton="0" quotePrefix="0" xfId="0"/>
    <xf numFmtId="0" fontId="11" fillId="2" borderId="11" pivotButton="0" quotePrefix="0" xfId="0"/>
    <xf numFmtId="0" fontId="13" fillId="2" borderId="12" applyAlignment="1" pivotButton="0" quotePrefix="0" xfId="0">
      <alignment vertical="center"/>
    </xf>
    <xf numFmtId="0" fontId="11" fillId="2" borderId="13" pivotButton="0" quotePrefix="0" xfId="0"/>
    <xf numFmtId="0" fontId="11" fillId="2" borderId="1" pivotButton="0" quotePrefix="0" xfId="0"/>
    <xf numFmtId="0" fontId="13" fillId="2" borderId="0" applyAlignment="1" pivotButton="0" quotePrefix="0" xfId="0">
      <alignment vertical="center"/>
    </xf>
    <xf numFmtId="164" fontId="14" fillId="2" borderId="1" applyAlignment="1" applyProtection="1" pivotButton="0" quotePrefix="0" xfId="0">
      <alignment vertical="center"/>
      <protection locked="0" hidden="0"/>
    </xf>
    <xf numFmtId="0" fontId="8" fillId="5" borderId="0" pivotButton="0" quotePrefix="0" xfId="0"/>
    <xf numFmtId="0" fontId="0" fillId="5" borderId="0" pivotButton="0" quotePrefix="0" xfId="0"/>
    <xf numFmtId="0" fontId="15" fillId="5" borderId="0" pivotButton="0" quotePrefix="0" xfId="0"/>
    <xf numFmtId="0" fontId="0" fillId="2" borderId="16" pivotButton="0" quotePrefix="0" xfId="0"/>
    <xf numFmtId="0" fontId="0" fillId="2" borderId="3" pivotButton="0" quotePrefix="0" xfId="0"/>
    <xf numFmtId="0" fontId="0" fillId="2" borderId="4" pivotButton="0" quotePrefix="0" xfId="0"/>
    <xf numFmtId="0" fontId="16" fillId="5" borderId="0" pivotButton="0" quotePrefix="0" xfId="0"/>
    <xf numFmtId="0" fontId="0" fillId="2" borderId="0" pivotButton="0" quotePrefix="0" xfId="0"/>
    <xf numFmtId="0" fontId="0" fillId="2" borderId="13" pivotButton="0" quotePrefix="0" xfId="0"/>
    <xf numFmtId="0" fontId="0" fillId="2" borderId="1" pivotButton="0" quotePrefix="0" xfId="0"/>
    <xf numFmtId="0" fontId="0" fillId="2" borderId="14" pivotButton="0" quotePrefix="0" xfId="0"/>
    <xf numFmtId="0" fontId="14" fillId="2" borderId="1" applyAlignment="1" applyProtection="1" pivotButton="0" quotePrefix="0" xfId="0">
      <alignment vertical="center"/>
      <protection locked="0" hidden="0"/>
    </xf>
    <xf numFmtId="0" fontId="14" fillId="2" borderId="14" applyAlignment="1" applyProtection="1" pivotButton="0" quotePrefix="0" xfId="0">
      <alignment vertical="center"/>
      <protection locked="0" hidden="0"/>
    </xf>
    <xf numFmtId="0" fontId="20" fillId="2" borderId="2" applyAlignment="1" applyProtection="1" pivotButton="0" quotePrefix="0" xfId="0">
      <alignment horizontal="center" vertical="center"/>
      <protection locked="0" hidden="0"/>
    </xf>
    <xf numFmtId="0" fontId="21" fillId="2" borderId="3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26" fillId="2" borderId="2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textRotation="90" wrapText="1"/>
    </xf>
    <xf numFmtId="49" fontId="23" fillId="2" borderId="2" applyAlignment="1" pivotButton="0" quotePrefix="0" xfId="0">
      <alignment horizontal="center" textRotation="90" wrapText="1"/>
    </xf>
    <xf numFmtId="0" fontId="27" fillId="2" borderId="8" applyAlignment="1" pivotButton="0" quotePrefix="0" xfId="0">
      <alignment horizontal="left" indent="1"/>
    </xf>
    <xf numFmtId="0" fontId="23" fillId="2" borderId="11" applyAlignment="1" pivotButton="0" quotePrefix="0" xfId="0">
      <alignment horizontal="left" vertical="center" indent="1"/>
    </xf>
    <xf numFmtId="0" fontId="23" fillId="2" borderId="0" pivotButton="0" quotePrefix="0" xfId="0"/>
    <xf numFmtId="0" fontId="22" fillId="2" borderId="11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1" fontId="33" fillId="2" borderId="2" applyAlignment="1" pivotButton="0" quotePrefix="0" xfId="0">
      <alignment horizontal="center" vertical="center"/>
    </xf>
    <xf numFmtId="0" fontId="21" fillId="2" borderId="16" applyAlignment="1" pivotButton="0" quotePrefix="0" xfId="0">
      <alignment horizontal="center" vertical="center"/>
    </xf>
    <xf numFmtId="0" fontId="36" fillId="2" borderId="3" applyAlignment="1" pivotButton="0" quotePrefix="0" xfId="0">
      <alignment horizontal="center" vertical="center"/>
    </xf>
    <xf numFmtId="1" fontId="31" fillId="2" borderId="3" applyAlignment="1" applyProtection="1" pivotButton="0" quotePrefix="0" xfId="0">
      <alignment horizontal="center" vertical="center"/>
      <protection locked="0" hidden="0"/>
    </xf>
    <xf numFmtId="1" fontId="31" fillId="2" borderId="16" applyAlignment="1" pivotButton="0" quotePrefix="0" xfId="0">
      <alignment horizontal="center" vertical="center"/>
    </xf>
    <xf numFmtId="1" fontId="38" fillId="2" borderId="16" applyAlignment="1" pivotButton="0" quotePrefix="0" xfId="0">
      <alignment horizontal="center" vertical="center"/>
    </xf>
    <xf numFmtId="0" fontId="39" fillId="2" borderId="3" applyAlignment="1" pivotButton="0" quotePrefix="0" xfId="0">
      <alignment horizontal="center" vertical="center"/>
    </xf>
    <xf numFmtId="1" fontId="31" fillId="2" borderId="3" applyAlignment="1" pivotButton="0" quotePrefix="0" xfId="0">
      <alignment horizontal="center" vertical="center"/>
    </xf>
    <xf numFmtId="1" fontId="38" fillId="2" borderId="3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/>
    </xf>
    <xf numFmtId="0" fontId="36" fillId="2" borderId="4" applyAlignment="1" pivotButton="0" quotePrefix="0" xfId="0">
      <alignment horizontal="center" vertical="center"/>
    </xf>
    <xf numFmtId="1" fontId="31" fillId="2" borderId="4" applyAlignment="1" applyProtection="1" pivotButton="0" quotePrefix="0" xfId="0">
      <alignment horizontal="center" vertical="center"/>
      <protection locked="0" hidden="0"/>
    </xf>
    <xf numFmtId="1" fontId="38" fillId="2" borderId="4" applyAlignment="1" pivotButton="0" quotePrefix="0" xfId="0">
      <alignment horizontal="center" vertical="center"/>
    </xf>
    <xf numFmtId="0" fontId="29" fillId="2" borderId="1" applyAlignment="1" applyProtection="1" pivotButton="0" quotePrefix="0" xfId="0">
      <alignment horizontal="left" vertical="center" indent="1"/>
      <protection locked="0" hidden="0"/>
    </xf>
    <xf numFmtId="0" fontId="40" fillId="0" borderId="31" applyAlignment="1" applyProtection="1" pivotButton="0" quotePrefix="0" xfId="1">
      <alignment horizontal="center" vertical="center"/>
      <protection locked="0" hidden="0"/>
    </xf>
    <xf numFmtId="0" fontId="40" fillId="0" borderId="32" applyAlignment="1" applyProtection="1" pivotButton="0" quotePrefix="0" xfId="1">
      <alignment horizontal="center" vertical="center"/>
      <protection locked="0" hidden="0"/>
    </xf>
    <xf numFmtId="1" fontId="41" fillId="2" borderId="2" applyAlignment="1" pivotButton="0" quotePrefix="0" xfId="0">
      <alignment horizontal="center" vertical="center"/>
    </xf>
    <xf numFmtId="0" fontId="5" fillId="4" borderId="23" applyAlignment="1" applyProtection="1" pivotButton="0" quotePrefix="0" xfId="0">
      <alignment horizontal="left" vertical="top"/>
      <protection locked="0" hidden="0"/>
    </xf>
    <xf numFmtId="0" fontId="28" fillId="2" borderId="3" applyAlignment="1" applyProtection="1" pivotButton="0" quotePrefix="0" xfId="0">
      <alignment horizontal="center" vertical="center"/>
      <protection locked="0" hidden="0"/>
    </xf>
    <xf numFmtId="0" fontId="28" fillId="2" borderId="3" applyAlignment="1" applyProtection="1" pivotButton="0" quotePrefix="0" xfId="0">
      <alignment horizontal="center" vertical="center"/>
      <protection locked="0" hidden="0"/>
    </xf>
    <xf numFmtId="0" fontId="42" fillId="0" borderId="31" applyAlignment="1" applyProtection="1" pivotButton="0" quotePrefix="0" xfId="1">
      <alignment horizontal="center" vertical="center"/>
      <protection locked="0" hidden="0"/>
    </xf>
    <xf numFmtId="0" fontId="42" fillId="0" borderId="32" applyAlignment="1" applyProtection="1" pivotButton="0" quotePrefix="0" xfId="1">
      <alignment horizontal="center" vertical="center"/>
      <protection locked="0" hidden="0"/>
    </xf>
    <xf numFmtId="0" fontId="42" fillId="0" borderId="0" applyAlignment="1" pivotButton="0" quotePrefix="0" xfId="0">
      <alignment horizontal="center"/>
    </xf>
    <xf numFmtId="0" fontId="37" fillId="2" borderId="2" applyAlignment="1" pivotButton="0" quotePrefix="0" xfId="0">
      <alignment horizontal="center" vertical="center"/>
    </xf>
    <xf numFmtId="0" fontId="43" fillId="2" borderId="0" pivotButton="0" quotePrefix="0" xfId="0"/>
    <xf numFmtId="0" fontId="31" fillId="2" borderId="0" applyAlignment="1" pivotButton="0" quotePrefix="0" xfId="0">
      <alignment horizontal="center" vertical="center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164" fontId="18" fillId="2" borderId="1" applyAlignment="1" applyProtection="1" pivotButton="0" quotePrefix="0" xfId="0">
      <alignment horizontal="right" vertical="center"/>
      <protection locked="0" hidden="0"/>
    </xf>
    <xf numFmtId="0" fontId="22" fillId="2" borderId="0" applyAlignment="1" pivotButton="0" quotePrefix="0" xfId="0">
      <alignment horizontal="center" vertical="center"/>
    </xf>
    <xf numFmtId="0" fontId="28" fillId="2" borderId="3" applyAlignment="1" applyProtection="1" pivotButton="0" quotePrefix="0" xfId="0">
      <alignment horizontal="center" vertical="center"/>
      <protection locked="0" hidden="0"/>
    </xf>
    <xf numFmtId="0" fontId="28" fillId="2" borderId="16" applyAlignment="1" applyProtection="1" pivotButton="0" quotePrefix="0" xfId="0">
      <alignment horizontal="center" vertical="center"/>
      <protection locked="0" hidden="0"/>
    </xf>
    <xf numFmtId="0" fontId="23" fillId="2" borderId="2" applyAlignment="1" pivotButton="0" quotePrefix="0" xfId="0">
      <alignment horizontal="center" vertical="center" wrapText="1"/>
    </xf>
    <xf numFmtId="0" fontId="18" fillId="2" borderId="2" applyAlignment="1" applyProtection="1" pivotButton="0" quotePrefix="0" xfId="0">
      <alignment horizontal="center" vertical="center"/>
      <protection locked="0" hidden="0"/>
    </xf>
    <xf numFmtId="0" fontId="23" fillId="2" borderId="5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3" fillId="2" borderId="7" applyAlignment="1" pivotButton="0" quotePrefix="0" xfId="0">
      <alignment horizontal="center" vertical="center"/>
    </xf>
    <xf numFmtId="0" fontId="33" fillId="2" borderId="29" applyAlignment="1" pivotButton="0" quotePrefix="0" xfId="0">
      <alignment horizontal="center" vertical="center"/>
    </xf>
    <xf numFmtId="0" fontId="33" fillId="2" borderId="15" applyAlignment="1" pivotButton="0" quotePrefix="0" xfId="0">
      <alignment horizontal="center" vertical="center"/>
    </xf>
    <xf numFmtId="0" fontId="17" fillId="2" borderId="29" applyAlignment="1" pivotButton="0" quotePrefix="0" xfId="0">
      <alignment horizontal="center" vertical="center"/>
    </xf>
    <xf numFmtId="0" fontId="17" fillId="2" borderId="1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 wrapText="1"/>
    </xf>
    <xf numFmtId="0" fontId="23" fillId="2" borderId="6" applyAlignment="1" pivotButton="0" quotePrefix="0" xfId="0">
      <alignment horizontal="center" vertical="center" wrapText="1"/>
    </xf>
    <xf numFmtId="0" fontId="23" fillId="2" borderId="7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center" vertical="center"/>
    </xf>
    <xf numFmtId="0" fontId="45" fillId="2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left" vertical="center"/>
    </xf>
    <xf numFmtId="0" fontId="19" fillId="2" borderId="0" applyAlignment="1" applyProtection="1" pivotButton="0" quotePrefix="0" xfId="0">
      <alignment horizontal="center" vertical="center"/>
      <protection locked="0" hidden="0"/>
    </xf>
    <xf numFmtId="0" fontId="23" fillId="2" borderId="0" applyAlignment="1" pivotButton="0" quotePrefix="0" xfId="0">
      <alignment horizontal="center" vertical="center"/>
    </xf>
    <xf numFmtId="165" fontId="34" fillId="2" borderId="0" applyAlignment="1" applyProtection="1" pivotButton="0" quotePrefix="0" xfId="0">
      <alignment horizontal="center" vertical="center"/>
      <protection locked="0" hidden="0"/>
    </xf>
    <xf numFmtId="0" fontId="35" fillId="2" borderId="29" applyAlignment="1" pivotButton="0" quotePrefix="0" xfId="0">
      <alignment horizontal="center" vertical="center" wrapText="1"/>
    </xf>
    <xf numFmtId="0" fontId="35" fillId="2" borderId="30" applyAlignment="1" pivotButton="0" quotePrefix="0" xfId="0">
      <alignment horizontal="center" vertical="center" wrapText="1"/>
    </xf>
    <xf numFmtId="0" fontId="25" fillId="2" borderId="29" applyAlignment="1" pivotButton="0" quotePrefix="0" xfId="0">
      <alignment horizontal="center" vertical="center" wrapText="1"/>
    </xf>
    <xf numFmtId="0" fontId="25" fillId="2" borderId="15" applyAlignment="1" pivotButton="0" quotePrefix="0" xfId="0">
      <alignment horizontal="center" vertical="center" wrapText="1"/>
    </xf>
    <xf numFmtId="0" fontId="23" fillId="2" borderId="8" applyAlignment="1" pivotButton="0" quotePrefix="0" xfId="0">
      <alignment horizontal="center" vertical="center" wrapText="1"/>
    </xf>
    <xf numFmtId="0" fontId="23" fillId="2" borderId="10" applyAlignment="1" pivotButton="0" quotePrefix="0" xfId="0">
      <alignment horizontal="center" vertical="center" wrapText="1"/>
    </xf>
    <xf numFmtId="0" fontId="23" fillId="2" borderId="13" applyAlignment="1" pivotButton="0" quotePrefix="0" xfId="0">
      <alignment horizontal="center" vertical="center" wrapText="1"/>
    </xf>
    <xf numFmtId="0" fontId="23" fillId="2" borderId="14" applyAlignment="1" pivotButton="0" quotePrefix="0" xfId="0">
      <alignment horizontal="center" vertical="center" wrapText="1"/>
    </xf>
    <xf numFmtId="0" fontId="37" fillId="2" borderId="2" applyAlignment="1" pivotButton="0" quotePrefix="0" xfId="0">
      <alignment horizontal="center" vertical="center"/>
    </xf>
    <xf numFmtId="0" fontId="32" fillId="2" borderId="2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/>
    </xf>
    <xf numFmtId="0" fontId="46" fillId="2" borderId="0" applyAlignment="1" applyProtection="1" pivotButton="0" quotePrefix="0" xfId="0">
      <alignment horizontal="right" vertical="center"/>
      <protection locked="0" hidden="0"/>
    </xf>
    <xf numFmtId="0" fontId="47" fillId="0" borderId="3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48" fillId="0" borderId="33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165" fontId="34" fillId="2" borderId="0" applyAlignment="1" applyProtection="1" pivotButton="0" quotePrefix="0" xfId="0">
      <alignment horizontal="center" vertical="center"/>
      <protection locked="0" hidden="0"/>
    </xf>
    <xf numFmtId="0" fontId="0" fillId="0" borderId="6" pivotButton="0" quotePrefix="0" xfId="0"/>
    <xf numFmtId="0" fontId="0" fillId="0" borderId="7" pivotButton="0" quotePrefix="0" xfId="0"/>
    <xf numFmtId="0" fontId="25" fillId="2" borderId="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0" pivotButton="0" quotePrefix="0" xfId="0"/>
    <xf numFmtId="0" fontId="17" fillId="2" borderId="2" applyAlignment="1" pivotButton="0" quotePrefix="0" xfId="0">
      <alignment horizontal="center" vertical="center"/>
    </xf>
    <xf numFmtId="0" fontId="33" fillId="2" borderId="2" applyAlignment="1" pivotButton="0" quotePrefix="0" xfId="0">
      <alignment horizontal="center" vertical="center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3" fillId="2" borderId="2" applyAlignment="1" pivotButton="0" quotePrefix="0" xfId="0">
      <alignment horizontal="center" vertical="center"/>
    </xf>
    <xf numFmtId="0" fontId="0" fillId="0" borderId="34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164" fontId="14" fillId="2" borderId="1" applyAlignment="1" applyProtection="1" pivotButton="0" quotePrefix="0" xfId="0">
      <alignment vertical="center"/>
      <protection locked="0" hidden="0"/>
    </xf>
    <xf numFmtId="164" fontId="18" fillId="2" borderId="1" applyAlignment="1" applyProtection="1" pivotButton="0" quotePrefix="0" xfId="0">
      <alignment horizontal="right" vertical="center"/>
      <protection locked="0" hidden="0"/>
    </xf>
    <xf numFmtId="0" fontId="0" fillId="0" borderId="1" applyProtection="1" pivotButton="0" quotePrefix="0" xfId="0">
      <protection locked="0" hidden="0"/>
    </xf>
    <xf numFmtId="0" fontId="49" fillId="0" borderId="33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49" fillId="2" borderId="3" applyAlignment="1" pivotButton="0" quotePrefix="0" xfId="0">
      <alignment horizontal="center" vertical="center"/>
    </xf>
    <xf numFmtId="0" fontId="49" fillId="0" borderId="31" applyAlignment="1" applyProtection="1" pivotButton="0" quotePrefix="0" xfId="1">
      <alignment horizontal="center" vertical="center"/>
      <protection locked="0" hidden="0"/>
    </xf>
    <xf numFmtId="0" fontId="49" fillId="0" borderId="32" applyAlignment="1" applyProtection="1" pivotButton="0" quotePrefix="0" xfId="1">
      <alignment horizontal="center" vertical="center"/>
      <protection locked="0" hidden="0"/>
    </xf>
    <xf numFmtId="0" fontId="49" fillId="2" borderId="4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108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0"/>
      </font>
    </dxf>
    <dxf>
      <font>
        <color theme="0"/>
      </font>
    </dxf>
    <dxf>
      <fill>
        <patternFill>
          <bgColor rgb="FFFFFFFA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lor theme="0"/>
      </font>
    </dxf>
    <dxf>
      <font>
        <condense val="0"/>
        <color indexed="9"/>
        <extend val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tcdd_USB\63669_2705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yfa A"/>
      <sheetName val="Sayfa1"/>
      <sheetName val="Sayfa B"/>
      <sheetName val="Sayfa2"/>
      <sheetName val="Sayfa3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Seri</v>
          </cell>
          <cell r="C1" t="str">
            <v>Cinsi</v>
          </cell>
          <cell r="D1">
            <v>0</v>
          </cell>
          <cell r="E1">
            <v>0</v>
          </cell>
          <cell r="F1" t="str">
            <v>Dingil</v>
          </cell>
          <cell r="G1">
            <v>0</v>
          </cell>
          <cell r="H1">
            <v>0</v>
          </cell>
          <cell r="I1" t="str">
            <v>Dara</v>
          </cell>
          <cell r="J1" t="str">
            <v>B.Fren</v>
          </cell>
          <cell r="K1" t="str">
            <v>D.Fren</v>
          </cell>
          <cell r="L1" t="str">
            <v>F.Değ Ağr</v>
          </cell>
        </row>
        <row r="2">
          <cell r="B2">
            <v>1030</v>
          </cell>
          <cell r="C2" t="str">
            <v>G</v>
          </cell>
          <cell r="D2">
            <v>41</v>
          </cell>
          <cell r="E2">
            <v>75</v>
          </cell>
          <cell r="F2">
            <v>2</v>
          </cell>
          <cell r="G2">
            <v>0</v>
          </cell>
          <cell r="I2">
            <v>11</v>
          </cell>
          <cell r="J2">
            <v>11</v>
          </cell>
          <cell r="K2">
            <v>21</v>
          </cell>
          <cell r="L2">
            <v>22</v>
          </cell>
        </row>
        <row r="3">
          <cell r="B3">
            <v>1031</v>
          </cell>
          <cell r="C3" t="str">
            <v>G</v>
          </cell>
          <cell r="D3">
            <v>41</v>
          </cell>
          <cell r="E3">
            <v>75</v>
          </cell>
          <cell r="F3">
            <v>2</v>
          </cell>
          <cell r="G3">
            <v>0</v>
          </cell>
          <cell r="I3">
            <v>11</v>
          </cell>
          <cell r="J3">
            <v>11</v>
          </cell>
          <cell r="K3">
            <v>21</v>
          </cell>
          <cell r="L3">
            <v>22</v>
          </cell>
        </row>
        <row r="4">
          <cell r="B4">
            <v>95</v>
          </cell>
          <cell r="C4" t="str">
            <v>Mk</v>
          </cell>
          <cell r="E4">
            <v>75</v>
          </cell>
          <cell r="F4">
            <v>4</v>
          </cell>
          <cell r="G4">
            <v>0</v>
          </cell>
          <cell r="I4">
            <v>80</v>
          </cell>
          <cell r="J4">
            <v>50</v>
          </cell>
          <cell r="K4">
            <v>50</v>
          </cell>
        </row>
        <row r="5">
          <cell r="B5">
            <v>11</v>
          </cell>
          <cell r="C5" t="str">
            <v>Mk</v>
          </cell>
          <cell r="E5">
            <v>75</v>
          </cell>
          <cell r="F5">
            <v>4</v>
          </cell>
          <cell r="G5">
            <v>0</v>
          </cell>
          <cell r="I5">
            <v>80</v>
          </cell>
          <cell r="J5">
            <v>50</v>
          </cell>
          <cell r="K5">
            <v>50</v>
          </cell>
        </row>
        <row r="6">
          <cell r="B6">
            <v>24</v>
          </cell>
          <cell r="C6" t="str">
            <v>Mk</v>
          </cell>
          <cell r="E6">
            <v>75</v>
          </cell>
          <cell r="F6">
            <v>6</v>
          </cell>
          <cell r="G6">
            <v>0</v>
          </cell>
          <cell r="I6">
            <v>120</v>
          </cell>
          <cell r="J6">
            <v>60</v>
          </cell>
          <cell r="K6">
            <v>60</v>
          </cell>
        </row>
        <row r="7">
          <cell r="B7">
            <v>33</v>
          </cell>
          <cell r="C7" t="str">
            <v>Mk</v>
          </cell>
          <cell r="E7">
            <v>75</v>
          </cell>
          <cell r="F7">
            <v>6</v>
          </cell>
          <cell r="G7">
            <v>0</v>
          </cell>
          <cell r="I7">
            <v>120</v>
          </cell>
          <cell r="J7">
            <v>60</v>
          </cell>
          <cell r="K7">
            <v>60</v>
          </cell>
        </row>
        <row r="8">
          <cell r="B8">
            <v>43</v>
          </cell>
          <cell r="C8" t="str">
            <v>Mk</v>
          </cell>
          <cell r="E8">
            <v>75</v>
          </cell>
          <cell r="F8">
            <v>6</v>
          </cell>
          <cell r="G8">
            <v>0</v>
          </cell>
          <cell r="I8">
            <v>150</v>
          </cell>
          <cell r="J8">
            <v>60</v>
          </cell>
          <cell r="K8">
            <v>60</v>
          </cell>
        </row>
        <row r="9">
          <cell r="B9">
            <v>1500</v>
          </cell>
          <cell r="C9" t="str">
            <v>Gb</v>
          </cell>
          <cell r="D9">
            <v>21</v>
          </cell>
          <cell r="E9">
            <v>75</v>
          </cell>
          <cell r="F9">
            <v>2</v>
          </cell>
          <cell r="G9">
            <v>0</v>
          </cell>
          <cell r="I9">
            <v>14</v>
          </cell>
          <cell r="J9">
            <v>14</v>
          </cell>
          <cell r="K9">
            <v>21</v>
          </cell>
          <cell r="L9">
            <v>23</v>
          </cell>
        </row>
        <row r="10">
          <cell r="B10">
            <v>1510</v>
          </cell>
          <cell r="C10" t="str">
            <v>Gb</v>
          </cell>
          <cell r="D10">
            <v>21</v>
          </cell>
          <cell r="E10">
            <v>75</v>
          </cell>
          <cell r="F10">
            <v>2</v>
          </cell>
          <cell r="G10">
            <v>0</v>
          </cell>
          <cell r="I10">
            <v>15</v>
          </cell>
          <cell r="J10">
            <v>14</v>
          </cell>
          <cell r="K10">
            <v>21</v>
          </cell>
          <cell r="L10">
            <v>23</v>
          </cell>
        </row>
        <row r="11">
          <cell r="B11">
            <v>1511</v>
          </cell>
          <cell r="C11" t="str">
            <v>Gb</v>
          </cell>
          <cell r="D11">
            <v>21</v>
          </cell>
          <cell r="E11">
            <v>75</v>
          </cell>
          <cell r="F11">
            <v>2</v>
          </cell>
          <cell r="G11">
            <v>0</v>
          </cell>
          <cell r="I11">
            <v>14</v>
          </cell>
          <cell r="J11">
            <v>14</v>
          </cell>
          <cell r="K11">
            <v>21</v>
          </cell>
          <cell r="L11">
            <v>23</v>
          </cell>
        </row>
        <row r="12">
          <cell r="B12">
            <v>1512</v>
          </cell>
          <cell r="C12" t="str">
            <v>Gb</v>
          </cell>
          <cell r="D12">
            <v>21</v>
          </cell>
          <cell r="E12">
            <v>75</v>
          </cell>
          <cell r="F12">
            <v>2</v>
          </cell>
          <cell r="G12">
            <v>0</v>
          </cell>
          <cell r="I12">
            <v>14</v>
          </cell>
          <cell r="J12">
            <v>14</v>
          </cell>
          <cell r="K12">
            <v>21</v>
          </cell>
          <cell r="L12">
            <v>23</v>
          </cell>
        </row>
        <row r="13">
          <cell r="B13">
            <v>1513</v>
          </cell>
          <cell r="C13" t="str">
            <v>Gb</v>
          </cell>
          <cell r="D13">
            <v>21</v>
          </cell>
          <cell r="E13">
            <v>75</v>
          </cell>
          <cell r="F13">
            <v>2</v>
          </cell>
          <cell r="G13">
            <v>0</v>
          </cell>
          <cell r="I13">
            <v>14</v>
          </cell>
          <cell r="J13">
            <v>14</v>
          </cell>
          <cell r="K13">
            <v>21</v>
          </cell>
          <cell r="L13">
            <v>23</v>
          </cell>
        </row>
        <row r="14">
          <cell r="B14">
            <v>0</v>
          </cell>
          <cell r="C14" t="str">
            <v>Yolmk</v>
          </cell>
          <cell r="F14">
            <v>2</v>
          </cell>
          <cell r="I14">
            <v>30</v>
          </cell>
          <cell r="J14">
            <v>30</v>
          </cell>
          <cell r="K14">
            <v>30</v>
          </cell>
          <cell r="L14">
            <v>30</v>
          </cell>
        </row>
        <row r="15">
          <cell r="B15">
            <v>9</v>
          </cell>
          <cell r="C15" t="str">
            <v>Dj</v>
          </cell>
          <cell r="D15">
            <v>50</v>
          </cell>
          <cell r="E15">
            <v>96</v>
          </cell>
          <cell r="F15">
            <v>4</v>
          </cell>
          <cell r="G15">
            <v>0</v>
          </cell>
          <cell r="I15">
            <v>50</v>
          </cell>
          <cell r="J15">
            <v>56</v>
          </cell>
          <cell r="K15">
            <v>56</v>
          </cell>
          <cell r="L15">
            <v>56</v>
          </cell>
        </row>
        <row r="16">
          <cell r="C16">
            <v>0</v>
          </cell>
          <cell r="G16">
            <v>0</v>
          </cell>
        </row>
        <row r="18">
          <cell r="B18">
            <v>81</v>
          </cell>
          <cell r="C18" t="str">
            <v>B4</v>
          </cell>
          <cell r="F18">
            <v>4</v>
          </cell>
          <cell r="G18">
            <v>0</v>
          </cell>
          <cell r="I18">
            <v>30</v>
          </cell>
          <cell r="J18">
            <v>32</v>
          </cell>
          <cell r="K18">
            <v>32</v>
          </cell>
          <cell r="L18">
            <v>30</v>
          </cell>
        </row>
        <row r="19">
          <cell r="B19">
            <v>83</v>
          </cell>
          <cell r="C19" t="str">
            <v>Fb</v>
          </cell>
          <cell r="F19">
            <v>2</v>
          </cell>
          <cell r="G19">
            <v>0</v>
          </cell>
          <cell r="I19">
            <v>12</v>
          </cell>
          <cell r="J19">
            <v>12</v>
          </cell>
          <cell r="K19">
            <v>21</v>
          </cell>
          <cell r="L19">
            <v>22</v>
          </cell>
        </row>
        <row r="20">
          <cell r="B20">
            <v>84</v>
          </cell>
          <cell r="C20" t="str">
            <v>Fab</v>
          </cell>
          <cell r="F20">
            <v>2</v>
          </cell>
          <cell r="G20">
            <v>0</v>
          </cell>
          <cell r="I20">
            <v>25</v>
          </cell>
          <cell r="J20">
            <v>33</v>
          </cell>
          <cell r="K20">
            <v>52</v>
          </cell>
          <cell r="L20">
            <v>53</v>
          </cell>
        </row>
        <row r="21">
          <cell r="B21">
            <v>1003</v>
          </cell>
          <cell r="C21" t="str">
            <v>Wsp</v>
          </cell>
          <cell r="D21">
            <v>50</v>
          </cell>
          <cell r="E21">
            <v>75</v>
          </cell>
          <cell r="F21">
            <v>4</v>
          </cell>
          <cell r="G21">
            <v>0</v>
          </cell>
          <cell r="I21">
            <v>38</v>
          </cell>
          <cell r="J21">
            <v>56</v>
          </cell>
          <cell r="K21">
            <v>60</v>
          </cell>
          <cell r="L21">
            <v>60</v>
          </cell>
        </row>
        <row r="22">
          <cell r="B22">
            <v>1013</v>
          </cell>
          <cell r="C22" t="str">
            <v>Wsp</v>
          </cell>
          <cell r="D22">
            <v>51</v>
          </cell>
          <cell r="E22">
            <v>75</v>
          </cell>
          <cell r="F22">
            <v>4</v>
          </cell>
          <cell r="G22">
            <v>0</v>
          </cell>
          <cell r="I22">
            <v>38</v>
          </cell>
          <cell r="J22">
            <v>44</v>
          </cell>
          <cell r="K22">
            <v>60</v>
          </cell>
          <cell r="L22">
            <v>60</v>
          </cell>
        </row>
        <row r="23">
          <cell r="B23">
            <v>1017</v>
          </cell>
          <cell r="C23" t="str">
            <v>Wsp</v>
          </cell>
          <cell r="D23">
            <v>51</v>
          </cell>
          <cell r="E23">
            <v>75</v>
          </cell>
          <cell r="F23">
            <v>4</v>
          </cell>
          <cell r="G23">
            <v>0</v>
          </cell>
          <cell r="I23">
            <v>39</v>
          </cell>
          <cell r="J23">
            <v>42</v>
          </cell>
          <cell r="K23">
            <v>60</v>
          </cell>
          <cell r="L23">
            <v>60</v>
          </cell>
        </row>
        <row r="24">
          <cell r="B24">
            <v>1103</v>
          </cell>
          <cell r="C24" t="str">
            <v>A</v>
          </cell>
          <cell r="D24">
            <v>50</v>
          </cell>
          <cell r="E24">
            <v>75</v>
          </cell>
          <cell r="F24">
            <v>4</v>
          </cell>
          <cell r="G24">
            <v>0</v>
          </cell>
          <cell r="I24">
            <v>38</v>
          </cell>
          <cell r="J24">
            <v>46</v>
          </cell>
          <cell r="K24">
            <v>46</v>
          </cell>
          <cell r="L24">
            <v>48</v>
          </cell>
        </row>
        <row r="25">
          <cell r="B25">
            <v>1210</v>
          </cell>
          <cell r="C25" t="str">
            <v>Wsp</v>
          </cell>
          <cell r="D25">
            <v>51</v>
          </cell>
          <cell r="E25">
            <v>75</v>
          </cell>
          <cell r="F25">
            <v>4</v>
          </cell>
          <cell r="G25">
            <v>0</v>
          </cell>
          <cell r="I25">
            <v>37</v>
          </cell>
          <cell r="J25">
            <v>47</v>
          </cell>
          <cell r="K25">
            <v>80</v>
          </cell>
          <cell r="L25">
            <v>80</v>
          </cell>
        </row>
        <row r="26">
          <cell r="B26">
            <v>1217</v>
          </cell>
          <cell r="C26" t="str">
            <v>Wsp</v>
          </cell>
          <cell r="D26">
            <v>51</v>
          </cell>
          <cell r="E26">
            <v>75</v>
          </cell>
          <cell r="F26">
            <v>4</v>
          </cell>
          <cell r="G26">
            <v>0</v>
          </cell>
          <cell r="I26">
            <v>39</v>
          </cell>
          <cell r="J26">
            <v>47</v>
          </cell>
          <cell r="K26">
            <v>76</v>
          </cell>
          <cell r="L26">
            <v>76</v>
          </cell>
        </row>
        <row r="27">
          <cell r="B27">
            <v>1803</v>
          </cell>
          <cell r="C27" t="str">
            <v>A</v>
          </cell>
          <cell r="D27">
            <v>50</v>
          </cell>
          <cell r="E27">
            <v>75</v>
          </cell>
          <cell r="F27">
            <v>4</v>
          </cell>
          <cell r="G27">
            <v>0</v>
          </cell>
          <cell r="I27">
            <v>36</v>
          </cell>
          <cell r="J27">
            <v>39</v>
          </cell>
          <cell r="K27">
            <v>48</v>
          </cell>
          <cell r="L27">
            <v>48</v>
          </cell>
        </row>
        <row r="28">
          <cell r="B28">
            <v>1810</v>
          </cell>
          <cell r="C28" t="str">
            <v>Ga</v>
          </cell>
          <cell r="D28">
            <v>33</v>
          </cell>
          <cell r="E28">
            <v>75</v>
          </cell>
          <cell r="F28">
            <v>4</v>
          </cell>
          <cell r="G28">
            <v>0</v>
          </cell>
          <cell r="I28">
            <v>26</v>
          </cell>
          <cell r="J28">
            <v>28</v>
          </cell>
          <cell r="K28">
            <v>58</v>
          </cell>
          <cell r="L28">
            <v>41</v>
          </cell>
        </row>
        <row r="29">
          <cell r="B29">
            <v>1811</v>
          </cell>
          <cell r="C29" t="str">
            <v>Ga</v>
          </cell>
          <cell r="D29">
            <v>33</v>
          </cell>
          <cell r="E29">
            <v>75</v>
          </cell>
          <cell r="F29">
            <v>4</v>
          </cell>
          <cell r="G29">
            <v>0</v>
          </cell>
          <cell r="I29">
            <v>26</v>
          </cell>
          <cell r="J29">
            <v>28</v>
          </cell>
          <cell r="K29">
            <v>58</v>
          </cell>
          <cell r="L29">
            <v>41</v>
          </cell>
        </row>
        <row r="30">
          <cell r="B30" t="str">
            <v>1811..</v>
          </cell>
          <cell r="C30" t="str">
            <v>A.</v>
          </cell>
          <cell r="D30">
            <v>51</v>
          </cell>
          <cell r="E30">
            <v>75</v>
          </cell>
          <cell r="F30">
            <v>4</v>
          </cell>
          <cell r="G30">
            <v>0</v>
          </cell>
          <cell r="I30">
            <v>32</v>
          </cell>
          <cell r="J30">
            <v>40</v>
          </cell>
          <cell r="K30">
            <v>62</v>
          </cell>
          <cell r="L30">
            <v>62</v>
          </cell>
        </row>
        <row r="31">
          <cell r="B31">
            <v>1812</v>
          </cell>
          <cell r="C31" t="str">
            <v>Ga</v>
          </cell>
          <cell r="D31">
            <v>33</v>
          </cell>
          <cell r="E31">
            <v>75</v>
          </cell>
          <cell r="F31">
            <v>4</v>
          </cell>
          <cell r="G31">
            <v>0</v>
          </cell>
          <cell r="I31">
            <v>26</v>
          </cell>
          <cell r="J31">
            <v>28</v>
          </cell>
          <cell r="K31">
            <v>58</v>
          </cell>
          <cell r="L31">
            <v>41</v>
          </cell>
        </row>
        <row r="32">
          <cell r="B32">
            <v>1900</v>
          </cell>
          <cell r="C32" t="str">
            <v>Ga</v>
          </cell>
          <cell r="D32">
            <v>31</v>
          </cell>
          <cell r="E32">
            <v>75</v>
          </cell>
          <cell r="F32">
            <v>4</v>
          </cell>
          <cell r="G32">
            <v>0</v>
          </cell>
          <cell r="I32">
            <v>20</v>
          </cell>
          <cell r="J32">
            <v>28</v>
          </cell>
          <cell r="K32">
            <v>58</v>
          </cell>
          <cell r="L32">
            <v>41</v>
          </cell>
        </row>
        <row r="33">
          <cell r="B33">
            <v>1901</v>
          </cell>
          <cell r="C33" t="str">
            <v>Ga</v>
          </cell>
          <cell r="D33">
            <v>31</v>
          </cell>
          <cell r="E33">
            <v>96</v>
          </cell>
          <cell r="F33">
            <v>4</v>
          </cell>
          <cell r="I33">
            <v>25</v>
          </cell>
          <cell r="J33">
            <v>28</v>
          </cell>
          <cell r="K33">
            <v>50</v>
          </cell>
        </row>
        <row r="34">
          <cell r="B34">
            <v>1904</v>
          </cell>
          <cell r="C34" t="str">
            <v>Ga</v>
          </cell>
          <cell r="D34">
            <v>31</v>
          </cell>
          <cell r="E34">
            <v>96</v>
          </cell>
          <cell r="F34">
            <v>4</v>
          </cell>
          <cell r="I34">
            <v>25</v>
          </cell>
          <cell r="J34">
            <v>28</v>
          </cell>
          <cell r="K34">
            <v>50</v>
          </cell>
        </row>
        <row r="35">
          <cell r="B35">
            <v>1991</v>
          </cell>
          <cell r="C35" t="str">
            <v>Ga</v>
          </cell>
          <cell r="D35">
            <v>31</v>
          </cell>
          <cell r="E35">
            <v>54</v>
          </cell>
          <cell r="F35">
            <v>4</v>
          </cell>
          <cell r="G35">
            <v>0</v>
          </cell>
          <cell r="I35">
            <v>20</v>
          </cell>
          <cell r="J35">
            <v>28</v>
          </cell>
          <cell r="K35">
            <v>58</v>
          </cell>
          <cell r="L35">
            <v>41</v>
          </cell>
        </row>
        <row r="36">
          <cell r="B36">
            <v>2211</v>
          </cell>
          <cell r="C36" t="str">
            <v>B</v>
          </cell>
          <cell r="D36">
            <v>51</v>
          </cell>
          <cell r="E36">
            <v>75</v>
          </cell>
          <cell r="F36">
            <v>4</v>
          </cell>
          <cell r="G36">
            <v>0</v>
          </cell>
          <cell r="I36">
            <v>42</v>
          </cell>
          <cell r="J36">
            <v>52</v>
          </cell>
          <cell r="K36">
            <v>72</v>
          </cell>
          <cell r="L36">
            <v>72</v>
          </cell>
        </row>
        <row r="37">
          <cell r="B37">
            <v>2212</v>
          </cell>
          <cell r="C37" t="str">
            <v>Wsp</v>
          </cell>
          <cell r="D37">
            <v>51</v>
          </cell>
          <cell r="E37">
            <v>75</v>
          </cell>
          <cell r="F37">
            <v>4</v>
          </cell>
          <cell r="G37">
            <v>0</v>
          </cell>
          <cell r="I37">
            <v>39</v>
          </cell>
          <cell r="J37">
            <v>44</v>
          </cell>
          <cell r="K37">
            <v>80</v>
          </cell>
          <cell r="L37">
            <v>80</v>
          </cell>
        </row>
        <row r="38">
          <cell r="B38">
            <v>2213</v>
          </cell>
          <cell r="C38" t="str">
            <v>Wsp</v>
          </cell>
          <cell r="D38">
            <v>51</v>
          </cell>
          <cell r="E38">
            <v>75</v>
          </cell>
          <cell r="F38">
            <v>4</v>
          </cell>
          <cell r="G38">
            <v>0</v>
          </cell>
          <cell r="I38">
            <v>38</v>
          </cell>
          <cell r="J38">
            <v>44</v>
          </cell>
          <cell r="K38">
            <v>80</v>
          </cell>
          <cell r="L38">
            <v>80</v>
          </cell>
        </row>
        <row r="39">
          <cell r="B39">
            <v>2240</v>
          </cell>
          <cell r="C39" t="str">
            <v>B</v>
          </cell>
          <cell r="D39">
            <v>51</v>
          </cell>
          <cell r="E39">
            <v>75</v>
          </cell>
          <cell r="F39">
            <v>4</v>
          </cell>
          <cell r="G39">
            <v>0</v>
          </cell>
          <cell r="I39">
            <v>43</v>
          </cell>
          <cell r="J39">
            <v>51</v>
          </cell>
          <cell r="K39">
            <v>72</v>
          </cell>
          <cell r="L39">
            <v>72</v>
          </cell>
        </row>
        <row r="40">
          <cell r="B40">
            <v>2461</v>
          </cell>
          <cell r="C40" t="str">
            <v>Hb</v>
          </cell>
          <cell r="D40">
            <v>21</v>
          </cell>
          <cell r="E40">
            <v>75</v>
          </cell>
          <cell r="F40">
            <v>2</v>
          </cell>
          <cell r="G40">
            <v>0</v>
          </cell>
          <cell r="I40">
            <v>17</v>
          </cell>
          <cell r="J40">
            <v>20</v>
          </cell>
          <cell r="K40">
            <v>36</v>
          </cell>
          <cell r="L40">
            <v>24</v>
          </cell>
        </row>
        <row r="41">
          <cell r="B41">
            <v>2469</v>
          </cell>
          <cell r="C41" t="str">
            <v>Hb</v>
          </cell>
          <cell r="D41">
            <v>21</v>
          </cell>
          <cell r="E41">
            <v>81</v>
          </cell>
          <cell r="F41">
            <v>2</v>
          </cell>
          <cell r="G41">
            <v>0</v>
          </cell>
          <cell r="I41">
            <v>27</v>
          </cell>
          <cell r="J41">
            <v>33</v>
          </cell>
          <cell r="K41">
            <v>53</v>
          </cell>
          <cell r="L41">
            <v>52</v>
          </cell>
        </row>
        <row r="42">
          <cell r="B42">
            <v>2470</v>
          </cell>
          <cell r="C42" t="str">
            <v>Hb</v>
          </cell>
          <cell r="D42">
            <v>21</v>
          </cell>
          <cell r="E42">
            <v>81</v>
          </cell>
          <cell r="F42">
            <v>2</v>
          </cell>
          <cell r="G42">
            <v>0</v>
          </cell>
          <cell r="I42">
            <v>27</v>
          </cell>
          <cell r="J42">
            <v>33</v>
          </cell>
          <cell r="K42">
            <v>53</v>
          </cell>
          <cell r="L42">
            <v>52</v>
          </cell>
        </row>
        <row r="43">
          <cell r="B43">
            <v>2471</v>
          </cell>
          <cell r="C43" t="str">
            <v>Hb</v>
          </cell>
          <cell r="D43">
            <v>21</v>
          </cell>
          <cell r="E43">
            <v>81</v>
          </cell>
          <cell r="F43">
            <v>2</v>
          </cell>
          <cell r="G43">
            <v>0</v>
          </cell>
          <cell r="I43">
            <v>27</v>
          </cell>
          <cell r="J43">
            <v>33</v>
          </cell>
          <cell r="K43">
            <v>53</v>
          </cell>
          <cell r="L43">
            <v>52</v>
          </cell>
        </row>
        <row r="44">
          <cell r="B44">
            <v>2472</v>
          </cell>
          <cell r="C44" t="str">
            <v>Hb</v>
          </cell>
          <cell r="D44">
            <v>21</v>
          </cell>
          <cell r="E44">
            <v>81</v>
          </cell>
          <cell r="F44">
            <v>2</v>
          </cell>
          <cell r="G44">
            <v>0</v>
          </cell>
          <cell r="I44">
            <v>27</v>
          </cell>
          <cell r="J44">
            <v>33</v>
          </cell>
          <cell r="K44">
            <v>53</v>
          </cell>
          <cell r="L44">
            <v>52</v>
          </cell>
        </row>
        <row r="45">
          <cell r="B45">
            <v>2752</v>
          </cell>
          <cell r="C45" t="str">
            <v>Ha</v>
          </cell>
          <cell r="D45">
            <v>31</v>
          </cell>
          <cell r="E45">
            <v>75</v>
          </cell>
          <cell r="F45">
            <v>4</v>
          </cell>
          <cell r="G45">
            <v>0</v>
          </cell>
          <cell r="I45">
            <v>27</v>
          </cell>
          <cell r="J45">
            <v>33</v>
          </cell>
          <cell r="K45">
            <v>53</v>
          </cell>
          <cell r="L45">
            <v>52</v>
          </cell>
        </row>
        <row r="46">
          <cell r="B46">
            <v>2753</v>
          </cell>
          <cell r="C46" t="str">
            <v>Ha</v>
          </cell>
          <cell r="D46">
            <v>31</v>
          </cell>
          <cell r="E46">
            <v>81</v>
          </cell>
          <cell r="F46">
            <v>4</v>
          </cell>
          <cell r="I46">
            <v>25</v>
          </cell>
          <cell r="J46">
            <v>28</v>
          </cell>
          <cell r="K46">
            <v>50</v>
          </cell>
          <cell r="L46">
            <v>50</v>
          </cell>
        </row>
        <row r="47">
          <cell r="B47">
            <v>2763</v>
          </cell>
          <cell r="C47" t="str">
            <v>Ha</v>
          </cell>
          <cell r="D47">
            <v>31</v>
          </cell>
          <cell r="E47">
            <v>55</v>
          </cell>
          <cell r="F47">
            <v>4</v>
          </cell>
          <cell r="G47">
            <v>0</v>
          </cell>
          <cell r="I47">
            <v>27</v>
          </cell>
          <cell r="J47">
            <v>33</v>
          </cell>
          <cell r="K47">
            <v>53</v>
          </cell>
          <cell r="L47">
            <v>52</v>
          </cell>
        </row>
        <row r="48">
          <cell r="B48">
            <v>2770</v>
          </cell>
          <cell r="C48" t="str">
            <v>Ha</v>
          </cell>
          <cell r="D48">
            <v>31</v>
          </cell>
          <cell r="E48">
            <v>56</v>
          </cell>
          <cell r="F48">
            <v>4</v>
          </cell>
          <cell r="G48">
            <v>0</v>
          </cell>
          <cell r="I48">
            <v>27</v>
          </cell>
          <cell r="J48">
            <v>33</v>
          </cell>
          <cell r="K48">
            <v>53</v>
          </cell>
          <cell r="L48">
            <v>52</v>
          </cell>
        </row>
        <row r="49">
          <cell r="B49">
            <v>2771</v>
          </cell>
          <cell r="C49" t="str">
            <v>Ha</v>
          </cell>
          <cell r="D49">
            <v>31</v>
          </cell>
          <cell r="E49">
            <v>81</v>
          </cell>
          <cell r="F49">
            <v>4</v>
          </cell>
          <cell r="G49">
            <v>0</v>
          </cell>
          <cell r="I49">
            <v>25</v>
          </cell>
          <cell r="J49">
            <v>33</v>
          </cell>
          <cell r="K49">
            <v>53</v>
          </cell>
          <cell r="L49">
            <v>52</v>
          </cell>
        </row>
        <row r="50">
          <cell r="B50">
            <v>0</v>
          </cell>
          <cell r="C50">
            <v>0</v>
          </cell>
          <cell r="G50">
            <v>0</v>
          </cell>
        </row>
        <row r="51">
          <cell r="B51">
            <v>0</v>
          </cell>
          <cell r="C51">
            <v>0</v>
          </cell>
          <cell r="G51">
            <v>0</v>
          </cell>
        </row>
        <row r="52">
          <cell r="B52">
            <v>2780</v>
          </cell>
          <cell r="C52" t="str">
            <v>Ha</v>
          </cell>
          <cell r="D52">
            <v>31</v>
          </cell>
          <cell r="E52">
            <v>54</v>
          </cell>
          <cell r="F52">
            <v>4</v>
          </cell>
          <cell r="G52">
            <v>0</v>
          </cell>
          <cell r="I52">
            <v>27</v>
          </cell>
          <cell r="J52">
            <v>33</v>
          </cell>
          <cell r="K52">
            <v>53</v>
          </cell>
          <cell r="L52">
            <v>52</v>
          </cell>
        </row>
        <row r="53">
          <cell r="B53">
            <v>2799</v>
          </cell>
          <cell r="C53" t="str">
            <v>Habf</v>
          </cell>
          <cell r="D53">
            <v>33</v>
          </cell>
          <cell r="E53">
            <v>75</v>
          </cell>
          <cell r="F53">
            <v>4</v>
          </cell>
          <cell r="G53">
            <v>0</v>
          </cell>
          <cell r="I53">
            <v>26</v>
          </cell>
          <cell r="J53">
            <v>28</v>
          </cell>
          <cell r="K53">
            <v>54</v>
          </cell>
          <cell r="L53">
            <v>47</v>
          </cell>
        </row>
        <row r="54">
          <cell r="B54">
            <v>2811</v>
          </cell>
          <cell r="C54" t="str">
            <v>B.</v>
          </cell>
          <cell r="D54">
            <v>51</v>
          </cell>
          <cell r="E54">
            <v>75</v>
          </cell>
          <cell r="F54">
            <v>4</v>
          </cell>
          <cell r="G54">
            <v>0</v>
          </cell>
          <cell r="I54">
            <v>38</v>
          </cell>
          <cell r="J54">
            <v>44</v>
          </cell>
          <cell r="K54">
            <v>68</v>
          </cell>
          <cell r="L54">
            <v>68</v>
          </cell>
        </row>
        <row r="55">
          <cell r="B55">
            <v>2851</v>
          </cell>
          <cell r="C55" t="str">
            <v>Ha</v>
          </cell>
          <cell r="D55">
            <v>31</v>
          </cell>
          <cell r="E55">
            <v>75</v>
          </cell>
          <cell r="F55">
            <v>4</v>
          </cell>
          <cell r="G55">
            <v>0</v>
          </cell>
          <cell r="I55">
            <v>30</v>
          </cell>
          <cell r="J55">
            <v>33</v>
          </cell>
          <cell r="K55">
            <v>53</v>
          </cell>
          <cell r="L55">
            <v>52</v>
          </cell>
        </row>
        <row r="56">
          <cell r="B56">
            <v>2852</v>
          </cell>
          <cell r="C56" t="str">
            <v>Ha</v>
          </cell>
          <cell r="D56">
            <v>31</v>
          </cell>
          <cell r="E56">
            <v>75</v>
          </cell>
          <cell r="F56">
            <v>4</v>
          </cell>
          <cell r="G56">
            <v>0</v>
          </cell>
          <cell r="I56">
            <v>30</v>
          </cell>
          <cell r="J56">
            <v>33</v>
          </cell>
          <cell r="K56">
            <v>53</v>
          </cell>
          <cell r="L56">
            <v>52</v>
          </cell>
        </row>
        <row r="57">
          <cell r="B57">
            <v>2870</v>
          </cell>
          <cell r="C57" t="str">
            <v>Ha</v>
          </cell>
          <cell r="D57">
            <v>31</v>
          </cell>
          <cell r="E57">
            <v>81</v>
          </cell>
          <cell r="F57">
            <v>4</v>
          </cell>
          <cell r="G57">
            <v>0</v>
          </cell>
          <cell r="I57">
            <v>25</v>
          </cell>
          <cell r="J57">
            <v>33</v>
          </cell>
          <cell r="K57">
            <v>53</v>
          </cell>
          <cell r="L57">
            <v>52</v>
          </cell>
        </row>
        <row r="58">
          <cell r="B58">
            <v>2911</v>
          </cell>
          <cell r="C58" t="str">
            <v>B</v>
          </cell>
          <cell r="D58">
            <v>50</v>
          </cell>
          <cell r="E58">
            <v>75</v>
          </cell>
          <cell r="F58">
            <v>4</v>
          </cell>
          <cell r="G58">
            <v>0</v>
          </cell>
          <cell r="I58">
            <v>36</v>
          </cell>
          <cell r="J58">
            <v>41</v>
          </cell>
          <cell r="K58">
            <v>72</v>
          </cell>
          <cell r="L58">
            <v>72</v>
          </cell>
        </row>
        <row r="59">
          <cell r="B59">
            <v>2920</v>
          </cell>
          <cell r="C59" t="str">
            <v>Hir</v>
          </cell>
          <cell r="D59">
            <v>23</v>
          </cell>
          <cell r="E59">
            <v>75</v>
          </cell>
          <cell r="F59">
            <v>4</v>
          </cell>
          <cell r="I59">
            <v>25</v>
          </cell>
          <cell r="J59">
            <v>33</v>
          </cell>
          <cell r="K59">
            <v>53</v>
          </cell>
          <cell r="L59">
            <v>52</v>
          </cell>
        </row>
        <row r="60">
          <cell r="B60">
            <v>2921</v>
          </cell>
          <cell r="C60" t="str">
            <v>Hir</v>
          </cell>
          <cell r="D60">
            <v>23</v>
          </cell>
          <cell r="E60">
            <v>75</v>
          </cell>
          <cell r="F60">
            <v>4</v>
          </cell>
          <cell r="I60">
            <v>31</v>
          </cell>
          <cell r="J60">
            <v>32</v>
          </cell>
          <cell r="K60">
            <v>52</v>
          </cell>
          <cell r="L60">
            <v>32</v>
          </cell>
        </row>
        <row r="61">
          <cell r="B61">
            <v>2931</v>
          </cell>
          <cell r="C61" t="str">
            <v>Hill</v>
          </cell>
          <cell r="D61">
            <v>23</v>
          </cell>
          <cell r="E61">
            <v>75</v>
          </cell>
          <cell r="F61">
            <v>4</v>
          </cell>
          <cell r="I61">
            <v>32</v>
          </cell>
          <cell r="J61">
            <v>32</v>
          </cell>
          <cell r="K61">
            <v>52</v>
          </cell>
          <cell r="L61">
            <v>32</v>
          </cell>
        </row>
        <row r="62">
          <cell r="B62">
            <v>2932</v>
          </cell>
          <cell r="C62" t="str">
            <v>Hill</v>
          </cell>
          <cell r="D62">
            <v>23</v>
          </cell>
          <cell r="E62">
            <v>75</v>
          </cell>
          <cell r="F62">
            <v>4</v>
          </cell>
          <cell r="I62">
            <v>32</v>
          </cell>
          <cell r="J62">
            <v>32</v>
          </cell>
          <cell r="K62">
            <v>52</v>
          </cell>
          <cell r="L62">
            <v>32</v>
          </cell>
        </row>
        <row r="63">
          <cell r="B63">
            <v>2933</v>
          </cell>
          <cell r="C63" t="str">
            <v>Hill</v>
          </cell>
          <cell r="D63">
            <v>23</v>
          </cell>
          <cell r="E63">
            <v>75</v>
          </cell>
          <cell r="F63">
            <v>4</v>
          </cell>
          <cell r="I63">
            <v>32</v>
          </cell>
          <cell r="J63">
            <v>32</v>
          </cell>
          <cell r="K63">
            <v>52</v>
          </cell>
          <cell r="L63">
            <v>32</v>
          </cell>
        </row>
        <row r="64">
          <cell r="B64">
            <v>2971</v>
          </cell>
          <cell r="C64" t="str">
            <v>Ha</v>
          </cell>
          <cell r="D64">
            <v>31</v>
          </cell>
          <cell r="E64">
            <v>81</v>
          </cell>
          <cell r="F64">
            <v>4</v>
          </cell>
          <cell r="I64">
            <v>27</v>
          </cell>
          <cell r="J64">
            <v>23</v>
          </cell>
          <cell r="K64">
            <v>52</v>
          </cell>
          <cell r="L64">
            <v>28</v>
          </cell>
        </row>
        <row r="65">
          <cell r="B65">
            <v>3300</v>
          </cell>
          <cell r="C65" t="str">
            <v>Kb</v>
          </cell>
          <cell r="D65">
            <v>21</v>
          </cell>
          <cell r="E65">
            <v>75</v>
          </cell>
          <cell r="F65">
            <v>2</v>
          </cell>
          <cell r="G65">
            <v>0</v>
          </cell>
          <cell r="I65">
            <v>13</v>
          </cell>
          <cell r="J65">
            <v>13</v>
          </cell>
          <cell r="K65">
            <v>21</v>
          </cell>
          <cell r="L65">
            <v>23</v>
          </cell>
        </row>
        <row r="66">
          <cell r="B66">
            <v>3301</v>
          </cell>
          <cell r="C66" t="str">
            <v>Kb</v>
          </cell>
          <cell r="D66">
            <v>21</v>
          </cell>
          <cell r="E66">
            <v>75</v>
          </cell>
          <cell r="F66">
            <v>2</v>
          </cell>
          <cell r="G66">
            <v>0</v>
          </cell>
          <cell r="I66">
            <v>13</v>
          </cell>
          <cell r="J66">
            <v>13</v>
          </cell>
          <cell r="K66">
            <v>21</v>
          </cell>
          <cell r="L66">
            <v>23</v>
          </cell>
        </row>
        <row r="67">
          <cell r="B67">
            <v>3302</v>
          </cell>
          <cell r="C67" t="str">
            <v>Kb</v>
          </cell>
          <cell r="D67">
            <v>21</v>
          </cell>
          <cell r="E67">
            <v>75</v>
          </cell>
          <cell r="F67">
            <v>2</v>
          </cell>
          <cell r="G67">
            <v>0</v>
          </cell>
          <cell r="I67">
            <v>13</v>
          </cell>
          <cell r="J67">
            <v>13</v>
          </cell>
          <cell r="K67">
            <v>21</v>
          </cell>
          <cell r="L67">
            <v>23</v>
          </cell>
        </row>
        <row r="68">
          <cell r="B68">
            <v>3303</v>
          </cell>
          <cell r="C68" t="str">
            <v>Kb</v>
          </cell>
          <cell r="D68">
            <v>21</v>
          </cell>
          <cell r="E68">
            <v>75</v>
          </cell>
          <cell r="F68">
            <v>2</v>
          </cell>
          <cell r="G68">
            <v>0</v>
          </cell>
          <cell r="I68">
            <v>14</v>
          </cell>
          <cell r="J68">
            <v>13</v>
          </cell>
          <cell r="K68">
            <v>21</v>
          </cell>
          <cell r="L68">
            <v>23</v>
          </cell>
        </row>
        <row r="69">
          <cell r="B69">
            <v>3311</v>
          </cell>
          <cell r="C69" t="str">
            <v>Kb</v>
          </cell>
          <cell r="D69">
            <v>21</v>
          </cell>
          <cell r="E69">
            <v>81</v>
          </cell>
          <cell r="F69">
            <v>2</v>
          </cell>
          <cell r="G69">
            <v>0</v>
          </cell>
          <cell r="I69">
            <v>13</v>
          </cell>
          <cell r="J69">
            <v>13</v>
          </cell>
          <cell r="K69">
            <v>21</v>
          </cell>
          <cell r="L69">
            <v>23</v>
          </cell>
        </row>
        <row r="70">
          <cell r="B70">
            <v>3360</v>
          </cell>
          <cell r="C70" t="str">
            <v>Kl</v>
          </cell>
          <cell r="D70">
            <v>21</v>
          </cell>
          <cell r="E70">
            <v>75</v>
          </cell>
          <cell r="F70">
            <v>2</v>
          </cell>
          <cell r="G70">
            <v>0</v>
          </cell>
          <cell r="I70">
            <v>13</v>
          </cell>
          <cell r="J70">
            <v>13</v>
          </cell>
          <cell r="K70">
            <v>22</v>
          </cell>
          <cell r="L70">
            <v>23</v>
          </cell>
        </row>
        <row r="71">
          <cell r="B71">
            <v>3538</v>
          </cell>
          <cell r="C71" t="str">
            <v>Rs</v>
          </cell>
          <cell r="D71">
            <v>31</v>
          </cell>
          <cell r="E71">
            <v>56</v>
          </cell>
          <cell r="F71">
            <v>4</v>
          </cell>
          <cell r="G71">
            <v>0</v>
          </cell>
          <cell r="I71">
            <v>21</v>
          </cell>
          <cell r="J71">
            <v>28</v>
          </cell>
          <cell r="K71">
            <v>51</v>
          </cell>
          <cell r="L71">
            <v>51</v>
          </cell>
        </row>
        <row r="72">
          <cell r="B72">
            <v>3540</v>
          </cell>
          <cell r="C72" t="str">
            <v>Rs</v>
          </cell>
          <cell r="D72">
            <v>31</v>
          </cell>
          <cell r="E72">
            <v>53</v>
          </cell>
          <cell r="F72">
            <v>4</v>
          </cell>
          <cell r="G72">
            <v>0</v>
          </cell>
          <cell r="I72">
            <v>26</v>
          </cell>
          <cell r="J72">
            <v>28</v>
          </cell>
          <cell r="K72">
            <v>51</v>
          </cell>
          <cell r="L72">
            <v>51</v>
          </cell>
        </row>
        <row r="73">
          <cell r="B73">
            <v>3546</v>
          </cell>
          <cell r="C73" t="str">
            <v>Rıl</v>
          </cell>
          <cell r="D73">
            <v>31</v>
          </cell>
          <cell r="E73">
            <v>75</v>
          </cell>
          <cell r="F73">
            <v>4</v>
          </cell>
          <cell r="G73">
            <v>0</v>
          </cell>
          <cell r="I73">
            <v>28</v>
          </cell>
          <cell r="J73">
            <v>30</v>
          </cell>
          <cell r="K73">
            <v>51</v>
          </cell>
          <cell r="L73">
            <v>51</v>
          </cell>
        </row>
        <row r="74">
          <cell r="B74">
            <v>3553</v>
          </cell>
          <cell r="C74" t="str">
            <v>Rs</v>
          </cell>
          <cell r="D74">
            <v>31</v>
          </cell>
          <cell r="E74">
            <v>53</v>
          </cell>
          <cell r="F74">
            <v>4</v>
          </cell>
          <cell r="G74">
            <v>0</v>
          </cell>
          <cell r="I74">
            <v>21</v>
          </cell>
          <cell r="J74">
            <v>28</v>
          </cell>
          <cell r="K74">
            <v>51</v>
          </cell>
          <cell r="L74">
            <v>51</v>
          </cell>
        </row>
        <row r="75">
          <cell r="B75">
            <v>3555</v>
          </cell>
          <cell r="C75" t="str">
            <v>Rs</v>
          </cell>
          <cell r="D75">
            <v>33</v>
          </cell>
          <cell r="E75">
            <v>75</v>
          </cell>
          <cell r="F75">
            <v>4</v>
          </cell>
          <cell r="I75">
            <v>22</v>
          </cell>
          <cell r="J75">
            <v>23</v>
          </cell>
          <cell r="K75">
            <v>51</v>
          </cell>
          <cell r="L75">
            <v>40</v>
          </cell>
        </row>
        <row r="76">
          <cell r="B76">
            <v>3556</v>
          </cell>
          <cell r="C76" t="str">
            <v>Rs</v>
          </cell>
          <cell r="D76">
            <v>33</v>
          </cell>
          <cell r="E76">
            <v>75</v>
          </cell>
          <cell r="F76">
            <v>4</v>
          </cell>
          <cell r="I76">
            <v>21</v>
          </cell>
          <cell r="J76">
            <v>23</v>
          </cell>
          <cell r="K76">
            <v>51</v>
          </cell>
          <cell r="L76">
            <v>40</v>
          </cell>
        </row>
        <row r="77">
          <cell r="B77">
            <v>3557</v>
          </cell>
          <cell r="C77" t="str">
            <v>Rs</v>
          </cell>
          <cell r="D77">
            <v>33</v>
          </cell>
          <cell r="E77">
            <v>75</v>
          </cell>
          <cell r="F77">
            <v>4</v>
          </cell>
          <cell r="I77">
            <v>21</v>
          </cell>
          <cell r="J77">
            <v>23</v>
          </cell>
          <cell r="K77">
            <v>51</v>
          </cell>
          <cell r="L77">
            <v>40</v>
          </cell>
        </row>
        <row r="78">
          <cell r="B78">
            <v>3558</v>
          </cell>
          <cell r="C78" t="str">
            <v>Rs</v>
          </cell>
          <cell r="D78">
            <v>33</v>
          </cell>
          <cell r="E78">
            <v>75</v>
          </cell>
          <cell r="F78">
            <v>4</v>
          </cell>
          <cell r="I78">
            <v>21</v>
          </cell>
          <cell r="J78">
            <v>23</v>
          </cell>
          <cell r="K78">
            <v>51</v>
          </cell>
          <cell r="L78">
            <v>40</v>
          </cell>
        </row>
        <row r="79">
          <cell r="B79">
            <v>3561</v>
          </cell>
          <cell r="C79" t="str">
            <v>Rs</v>
          </cell>
          <cell r="D79">
            <v>33</v>
          </cell>
          <cell r="E79">
            <v>75</v>
          </cell>
          <cell r="F79">
            <v>4</v>
          </cell>
          <cell r="I79">
            <v>23</v>
          </cell>
          <cell r="J79">
            <v>23</v>
          </cell>
          <cell r="K79">
            <v>51</v>
          </cell>
          <cell r="L79">
            <v>40</v>
          </cell>
        </row>
        <row r="80">
          <cell r="B80">
            <v>3836</v>
          </cell>
          <cell r="C80" t="str">
            <v>Rs</v>
          </cell>
          <cell r="D80">
            <v>31</v>
          </cell>
          <cell r="E80">
            <v>81</v>
          </cell>
          <cell r="F80">
            <v>4</v>
          </cell>
          <cell r="G80">
            <v>0</v>
          </cell>
          <cell r="I80">
            <v>21</v>
          </cell>
          <cell r="J80">
            <v>28</v>
          </cell>
          <cell r="K80">
            <v>51</v>
          </cell>
          <cell r="L80">
            <v>51</v>
          </cell>
        </row>
        <row r="81">
          <cell r="B81">
            <v>3900</v>
          </cell>
          <cell r="C81" t="str">
            <v>R</v>
          </cell>
          <cell r="D81">
            <v>31</v>
          </cell>
          <cell r="E81">
            <v>75</v>
          </cell>
          <cell r="F81">
            <v>4</v>
          </cell>
          <cell r="G81">
            <v>0</v>
          </cell>
          <cell r="I81">
            <v>25</v>
          </cell>
          <cell r="J81">
            <v>26</v>
          </cell>
          <cell r="K81">
            <v>43</v>
          </cell>
          <cell r="L81">
            <v>44</v>
          </cell>
        </row>
        <row r="82">
          <cell r="B82">
            <v>3901</v>
          </cell>
          <cell r="C82" t="str">
            <v>Rs</v>
          </cell>
          <cell r="D82">
            <v>31</v>
          </cell>
          <cell r="E82">
            <v>81</v>
          </cell>
          <cell r="F82">
            <v>4</v>
          </cell>
          <cell r="G82">
            <v>0</v>
          </cell>
          <cell r="I82">
            <v>21</v>
          </cell>
          <cell r="J82">
            <v>28</v>
          </cell>
          <cell r="K82">
            <v>51</v>
          </cell>
          <cell r="L82">
            <v>44</v>
          </cell>
        </row>
        <row r="83">
          <cell r="B83">
            <v>3916</v>
          </cell>
          <cell r="C83" t="str">
            <v>Rs</v>
          </cell>
          <cell r="D83">
            <v>33</v>
          </cell>
          <cell r="E83">
            <v>75</v>
          </cell>
          <cell r="F83">
            <v>4</v>
          </cell>
          <cell r="G83">
            <v>0</v>
          </cell>
          <cell r="I83">
            <v>21</v>
          </cell>
          <cell r="J83">
            <v>28</v>
          </cell>
          <cell r="K83">
            <v>51</v>
          </cell>
          <cell r="L83">
            <v>44</v>
          </cell>
        </row>
        <row r="84">
          <cell r="B84">
            <v>3917</v>
          </cell>
          <cell r="C84" t="str">
            <v>Rs</v>
          </cell>
          <cell r="D84">
            <v>33</v>
          </cell>
          <cell r="E84">
            <v>75</v>
          </cell>
          <cell r="F84">
            <v>4</v>
          </cell>
          <cell r="G84">
            <v>0</v>
          </cell>
          <cell r="I84">
            <v>21</v>
          </cell>
          <cell r="J84">
            <v>28</v>
          </cell>
          <cell r="K84">
            <v>51</v>
          </cell>
          <cell r="L84">
            <v>44</v>
          </cell>
        </row>
        <row r="85">
          <cell r="B85">
            <v>3918</v>
          </cell>
          <cell r="C85" t="str">
            <v>Rs</v>
          </cell>
          <cell r="D85">
            <v>33</v>
          </cell>
          <cell r="E85">
            <v>75</v>
          </cell>
          <cell r="F85">
            <v>4</v>
          </cell>
          <cell r="I85">
            <v>23</v>
          </cell>
          <cell r="J85">
            <v>28</v>
          </cell>
          <cell r="K85">
            <v>51</v>
          </cell>
          <cell r="L85">
            <v>44</v>
          </cell>
        </row>
        <row r="86">
          <cell r="B86">
            <v>3920</v>
          </cell>
          <cell r="C86" t="str">
            <v>Rs</v>
          </cell>
          <cell r="D86">
            <v>33</v>
          </cell>
          <cell r="E86">
            <v>75</v>
          </cell>
          <cell r="F86">
            <v>4</v>
          </cell>
          <cell r="I86">
            <v>22</v>
          </cell>
          <cell r="J86">
            <v>28</v>
          </cell>
          <cell r="K86">
            <v>53</v>
          </cell>
          <cell r="L86">
            <v>44</v>
          </cell>
        </row>
        <row r="87">
          <cell r="B87">
            <v>3921</v>
          </cell>
          <cell r="C87" t="str">
            <v>Rs</v>
          </cell>
          <cell r="D87">
            <v>33</v>
          </cell>
          <cell r="E87">
            <v>75</v>
          </cell>
          <cell r="F87">
            <v>4</v>
          </cell>
          <cell r="I87">
            <v>22</v>
          </cell>
          <cell r="J87">
            <v>28</v>
          </cell>
          <cell r="K87">
            <v>53</v>
          </cell>
          <cell r="L87">
            <v>44</v>
          </cell>
        </row>
        <row r="88">
          <cell r="B88">
            <v>3922</v>
          </cell>
          <cell r="C88" t="str">
            <v>Rs</v>
          </cell>
          <cell r="D88">
            <v>33</v>
          </cell>
          <cell r="E88">
            <v>75</v>
          </cell>
          <cell r="F88">
            <v>4</v>
          </cell>
          <cell r="I88">
            <v>22</v>
          </cell>
          <cell r="J88">
            <v>28</v>
          </cell>
          <cell r="K88">
            <v>53</v>
          </cell>
          <cell r="L88">
            <v>44</v>
          </cell>
        </row>
        <row r="89">
          <cell r="B89">
            <v>3923</v>
          </cell>
          <cell r="C89" t="str">
            <v>Rs</v>
          </cell>
          <cell r="D89">
            <v>33</v>
          </cell>
          <cell r="E89">
            <v>75</v>
          </cell>
          <cell r="F89">
            <v>4</v>
          </cell>
          <cell r="I89">
            <v>24</v>
          </cell>
          <cell r="J89">
            <v>23</v>
          </cell>
          <cell r="K89">
            <v>51</v>
          </cell>
          <cell r="L89">
            <v>40</v>
          </cell>
        </row>
        <row r="90">
          <cell r="B90">
            <v>3924</v>
          </cell>
          <cell r="C90" t="str">
            <v>Rs</v>
          </cell>
          <cell r="D90">
            <v>33</v>
          </cell>
          <cell r="E90">
            <v>75</v>
          </cell>
          <cell r="F90">
            <v>4</v>
          </cell>
          <cell r="I90">
            <v>24</v>
          </cell>
          <cell r="J90">
            <v>23</v>
          </cell>
          <cell r="K90">
            <v>51</v>
          </cell>
          <cell r="L90">
            <v>40</v>
          </cell>
        </row>
        <row r="91">
          <cell r="B91">
            <v>3925</v>
          </cell>
          <cell r="C91" t="str">
            <v>Rs</v>
          </cell>
          <cell r="D91">
            <v>33</v>
          </cell>
          <cell r="E91">
            <v>75</v>
          </cell>
          <cell r="F91">
            <v>4</v>
          </cell>
          <cell r="I91">
            <v>24</v>
          </cell>
          <cell r="J91">
            <v>23</v>
          </cell>
          <cell r="K91">
            <v>51</v>
          </cell>
          <cell r="L91">
            <v>40</v>
          </cell>
        </row>
        <row r="92">
          <cell r="B92">
            <v>3926</v>
          </cell>
          <cell r="C92" t="str">
            <v>Rs</v>
          </cell>
          <cell r="D92">
            <v>33</v>
          </cell>
          <cell r="E92">
            <v>75</v>
          </cell>
          <cell r="F92">
            <v>4</v>
          </cell>
          <cell r="I92">
            <v>24</v>
          </cell>
          <cell r="J92">
            <v>23</v>
          </cell>
          <cell r="K92">
            <v>51</v>
          </cell>
          <cell r="L92">
            <v>40</v>
          </cell>
        </row>
        <row r="93">
          <cell r="B93">
            <v>3936</v>
          </cell>
          <cell r="C93" t="str">
            <v>Rs</v>
          </cell>
          <cell r="D93">
            <v>33</v>
          </cell>
          <cell r="E93">
            <v>75</v>
          </cell>
          <cell r="F93">
            <v>4</v>
          </cell>
          <cell r="G93">
            <v>0</v>
          </cell>
          <cell r="I93">
            <v>21</v>
          </cell>
          <cell r="J93">
            <v>28</v>
          </cell>
          <cell r="K93">
            <v>51</v>
          </cell>
          <cell r="L93">
            <v>51</v>
          </cell>
        </row>
        <row r="94">
          <cell r="B94">
            <v>3948</v>
          </cell>
          <cell r="C94" t="str">
            <v>Rs</v>
          </cell>
          <cell r="D94">
            <v>31</v>
          </cell>
          <cell r="E94">
            <v>75</v>
          </cell>
          <cell r="F94">
            <v>4</v>
          </cell>
          <cell r="I94">
            <v>25</v>
          </cell>
          <cell r="J94">
            <v>29</v>
          </cell>
          <cell r="K94">
            <v>46</v>
          </cell>
          <cell r="L94">
            <v>38</v>
          </cell>
        </row>
        <row r="95">
          <cell r="B95">
            <v>3959</v>
          </cell>
          <cell r="C95" t="str">
            <v>Rs</v>
          </cell>
          <cell r="D95">
            <v>31</v>
          </cell>
          <cell r="E95">
            <v>55</v>
          </cell>
          <cell r="F95">
            <v>4</v>
          </cell>
          <cell r="G95">
            <v>0</v>
          </cell>
          <cell r="I95">
            <v>21</v>
          </cell>
          <cell r="J95">
            <v>28</v>
          </cell>
          <cell r="K95">
            <v>51</v>
          </cell>
          <cell r="L95">
            <v>38</v>
          </cell>
        </row>
        <row r="96">
          <cell r="B96">
            <v>3961</v>
          </cell>
          <cell r="C96" t="str">
            <v>Rs</v>
          </cell>
          <cell r="D96">
            <v>31</v>
          </cell>
          <cell r="E96">
            <v>80</v>
          </cell>
          <cell r="F96">
            <v>4</v>
          </cell>
          <cell r="G96">
            <v>0</v>
          </cell>
          <cell r="I96">
            <v>25</v>
          </cell>
          <cell r="J96">
            <v>29</v>
          </cell>
          <cell r="K96">
            <v>46</v>
          </cell>
          <cell r="L96">
            <v>38</v>
          </cell>
        </row>
        <row r="97">
          <cell r="B97">
            <v>3962</v>
          </cell>
          <cell r="C97" t="str">
            <v>Sg</v>
          </cell>
          <cell r="D97">
            <v>31</v>
          </cell>
          <cell r="E97">
            <v>80</v>
          </cell>
          <cell r="F97">
            <v>4</v>
          </cell>
          <cell r="G97">
            <v>0</v>
          </cell>
          <cell r="I97">
            <v>25</v>
          </cell>
          <cell r="J97">
            <v>29</v>
          </cell>
          <cell r="K97">
            <v>46</v>
          </cell>
          <cell r="L97">
            <v>38</v>
          </cell>
        </row>
        <row r="98">
          <cell r="B98">
            <v>4213</v>
          </cell>
          <cell r="C98" t="str">
            <v>La</v>
          </cell>
          <cell r="D98">
            <v>23</v>
          </cell>
          <cell r="E98">
            <v>75</v>
          </cell>
          <cell r="F98">
            <v>3</v>
          </cell>
          <cell r="G98">
            <v>0</v>
          </cell>
          <cell r="I98">
            <v>22</v>
          </cell>
          <cell r="J98">
            <v>24</v>
          </cell>
          <cell r="K98">
            <v>50</v>
          </cell>
          <cell r="L98">
            <v>44</v>
          </cell>
        </row>
        <row r="99">
          <cell r="B99">
            <v>4313</v>
          </cell>
          <cell r="C99" t="str">
            <v>La</v>
          </cell>
          <cell r="D99">
            <v>23</v>
          </cell>
          <cell r="E99">
            <v>80</v>
          </cell>
          <cell r="F99">
            <v>4</v>
          </cell>
          <cell r="G99">
            <v>0</v>
          </cell>
          <cell r="I99">
            <v>23</v>
          </cell>
          <cell r="J99">
            <v>23</v>
          </cell>
          <cell r="K99">
            <v>46</v>
          </cell>
          <cell r="L99">
            <v>46</v>
          </cell>
        </row>
        <row r="100">
          <cell r="B100">
            <v>4377</v>
          </cell>
          <cell r="C100" t="str">
            <v>La</v>
          </cell>
          <cell r="D100">
            <v>23</v>
          </cell>
          <cell r="E100">
            <v>75</v>
          </cell>
          <cell r="F100">
            <v>4</v>
          </cell>
          <cell r="G100">
            <v>0</v>
          </cell>
          <cell r="I100">
            <v>24</v>
          </cell>
          <cell r="J100">
            <v>23</v>
          </cell>
          <cell r="K100">
            <v>46</v>
          </cell>
          <cell r="L100">
            <v>46</v>
          </cell>
        </row>
        <row r="101">
          <cell r="B101">
            <v>4462</v>
          </cell>
          <cell r="C101" t="str">
            <v>La</v>
          </cell>
          <cell r="D101">
            <v>23</v>
          </cell>
          <cell r="E101">
            <v>75</v>
          </cell>
          <cell r="F101">
            <v>4</v>
          </cell>
          <cell r="I101">
            <v>20</v>
          </cell>
          <cell r="J101">
            <v>23</v>
          </cell>
          <cell r="K101">
            <v>50</v>
          </cell>
          <cell r="L101">
            <v>42</v>
          </cell>
        </row>
        <row r="102">
          <cell r="B102">
            <v>4536</v>
          </cell>
          <cell r="C102" t="str">
            <v>Sg</v>
          </cell>
          <cell r="D102">
            <v>82</v>
          </cell>
          <cell r="E102">
            <v>99</v>
          </cell>
          <cell r="F102">
            <v>6</v>
          </cell>
          <cell r="G102">
            <v>0</v>
          </cell>
          <cell r="I102">
            <v>25</v>
          </cell>
          <cell r="J102">
            <v>29</v>
          </cell>
          <cell r="K102">
            <v>46</v>
          </cell>
          <cell r="L102">
            <v>38</v>
          </cell>
        </row>
        <row r="103">
          <cell r="B103">
            <v>4540</v>
          </cell>
          <cell r="C103" t="str">
            <v>Sg</v>
          </cell>
          <cell r="D103">
            <v>31</v>
          </cell>
          <cell r="E103">
            <v>75</v>
          </cell>
          <cell r="F103">
            <v>4</v>
          </cell>
          <cell r="G103">
            <v>0</v>
          </cell>
          <cell r="I103">
            <v>25</v>
          </cell>
          <cell r="J103">
            <v>29</v>
          </cell>
          <cell r="K103">
            <v>46</v>
          </cell>
          <cell r="L103">
            <v>38</v>
          </cell>
        </row>
        <row r="104">
          <cell r="B104">
            <v>4548</v>
          </cell>
          <cell r="C104" t="str">
            <v>Sg</v>
          </cell>
          <cell r="D104">
            <v>33</v>
          </cell>
          <cell r="E104">
            <v>75</v>
          </cell>
          <cell r="F104">
            <v>4</v>
          </cell>
          <cell r="G104">
            <v>0</v>
          </cell>
          <cell r="I104">
            <v>25</v>
          </cell>
          <cell r="J104">
            <v>29</v>
          </cell>
          <cell r="K104">
            <v>52</v>
          </cell>
          <cell r="L104">
            <v>38</v>
          </cell>
        </row>
        <row r="105">
          <cell r="B105">
            <v>4568</v>
          </cell>
          <cell r="C105" t="str">
            <v>Sg</v>
          </cell>
          <cell r="D105">
            <v>31</v>
          </cell>
          <cell r="E105">
            <v>75</v>
          </cell>
          <cell r="F105">
            <v>4</v>
          </cell>
          <cell r="G105">
            <v>0</v>
          </cell>
          <cell r="I105">
            <v>25</v>
          </cell>
          <cell r="J105">
            <v>29</v>
          </cell>
          <cell r="K105">
            <v>52</v>
          </cell>
          <cell r="L105">
            <v>38</v>
          </cell>
        </row>
        <row r="106">
          <cell r="B106">
            <v>4700</v>
          </cell>
          <cell r="C106" t="str">
            <v>Sp</v>
          </cell>
          <cell r="D106">
            <v>31</v>
          </cell>
          <cell r="E106">
            <v>75</v>
          </cell>
          <cell r="F106">
            <v>4</v>
          </cell>
          <cell r="G106">
            <v>0</v>
          </cell>
          <cell r="I106">
            <v>22</v>
          </cell>
          <cell r="J106">
            <v>23</v>
          </cell>
          <cell r="K106">
            <v>50</v>
          </cell>
          <cell r="L106">
            <v>52</v>
          </cell>
        </row>
        <row r="107">
          <cell r="B107">
            <v>4701</v>
          </cell>
          <cell r="C107" t="str">
            <v>Sp</v>
          </cell>
          <cell r="D107">
            <v>31</v>
          </cell>
          <cell r="E107">
            <v>75</v>
          </cell>
          <cell r="F107">
            <v>4</v>
          </cell>
          <cell r="G107">
            <v>0</v>
          </cell>
          <cell r="I107">
            <v>22</v>
          </cell>
          <cell r="J107">
            <v>23</v>
          </cell>
          <cell r="K107">
            <v>50</v>
          </cell>
          <cell r="L107">
            <v>52</v>
          </cell>
        </row>
        <row r="108">
          <cell r="B108">
            <v>4720</v>
          </cell>
          <cell r="C108" t="str">
            <v>Sp</v>
          </cell>
          <cell r="D108">
            <v>33</v>
          </cell>
          <cell r="E108">
            <v>75</v>
          </cell>
          <cell r="F108">
            <v>4</v>
          </cell>
          <cell r="I108">
            <v>22</v>
          </cell>
          <cell r="J108">
            <v>23</v>
          </cell>
          <cell r="K108">
            <v>50</v>
          </cell>
          <cell r="L108">
            <v>52</v>
          </cell>
        </row>
        <row r="109">
          <cell r="B109">
            <v>4721</v>
          </cell>
          <cell r="C109" t="str">
            <v>Sp</v>
          </cell>
          <cell r="D109">
            <v>33</v>
          </cell>
          <cell r="E109">
            <v>75</v>
          </cell>
          <cell r="F109">
            <v>4</v>
          </cell>
          <cell r="I109">
            <v>22</v>
          </cell>
          <cell r="J109">
            <v>23</v>
          </cell>
          <cell r="K109">
            <v>50</v>
          </cell>
          <cell r="L109">
            <v>52</v>
          </cell>
        </row>
        <row r="110">
          <cell r="B110">
            <v>4722</v>
          </cell>
          <cell r="C110" t="str">
            <v>Sp</v>
          </cell>
          <cell r="D110">
            <v>33</v>
          </cell>
          <cell r="E110">
            <v>75</v>
          </cell>
          <cell r="F110">
            <v>4</v>
          </cell>
          <cell r="I110">
            <v>22</v>
          </cell>
          <cell r="J110">
            <v>23</v>
          </cell>
          <cell r="K110">
            <v>50</v>
          </cell>
          <cell r="L110">
            <v>52</v>
          </cell>
        </row>
        <row r="111">
          <cell r="B111">
            <v>4726</v>
          </cell>
          <cell r="C111" t="str">
            <v>Sp</v>
          </cell>
          <cell r="D111">
            <v>31</v>
          </cell>
          <cell r="E111">
            <v>80</v>
          </cell>
          <cell r="F111">
            <v>4</v>
          </cell>
          <cell r="G111">
            <v>0</v>
          </cell>
          <cell r="I111">
            <v>22</v>
          </cell>
          <cell r="J111">
            <v>23</v>
          </cell>
          <cell r="K111">
            <v>50</v>
          </cell>
          <cell r="L111">
            <v>52</v>
          </cell>
        </row>
        <row r="112">
          <cell r="B112">
            <v>4728</v>
          </cell>
          <cell r="C112" t="str">
            <v>Sp</v>
          </cell>
          <cell r="D112">
            <v>33</v>
          </cell>
          <cell r="E112">
            <v>75</v>
          </cell>
          <cell r="F112">
            <v>4</v>
          </cell>
          <cell r="I112">
            <v>21</v>
          </cell>
          <cell r="J112">
            <v>23</v>
          </cell>
          <cell r="K112">
            <v>51</v>
          </cell>
          <cell r="L112">
            <v>43</v>
          </cell>
        </row>
        <row r="113">
          <cell r="B113">
            <v>4855</v>
          </cell>
          <cell r="C113" t="str">
            <v>Sa</v>
          </cell>
          <cell r="D113">
            <v>81</v>
          </cell>
          <cell r="E113">
            <v>75</v>
          </cell>
          <cell r="F113">
            <v>4</v>
          </cell>
          <cell r="G113">
            <v>0</v>
          </cell>
          <cell r="I113">
            <v>27</v>
          </cell>
          <cell r="J113">
            <v>27</v>
          </cell>
          <cell r="K113">
            <v>59</v>
          </cell>
          <cell r="L113">
            <v>62</v>
          </cell>
        </row>
        <row r="114">
          <cell r="B114">
            <v>5012</v>
          </cell>
          <cell r="C114" t="str">
            <v>E</v>
          </cell>
          <cell r="D114">
            <v>21</v>
          </cell>
          <cell r="E114">
            <v>75</v>
          </cell>
          <cell r="F114">
            <v>2</v>
          </cell>
          <cell r="G114">
            <v>0</v>
          </cell>
          <cell r="I114">
            <v>11</v>
          </cell>
          <cell r="J114">
            <v>13</v>
          </cell>
          <cell r="K114">
            <v>21</v>
          </cell>
          <cell r="L114">
            <v>21</v>
          </cell>
        </row>
        <row r="115">
          <cell r="B115">
            <v>5013</v>
          </cell>
          <cell r="C115" t="str">
            <v>ACM</v>
          </cell>
          <cell r="D115">
            <v>51</v>
          </cell>
          <cell r="E115">
            <v>75</v>
          </cell>
          <cell r="F115">
            <v>4</v>
          </cell>
          <cell r="G115">
            <v>0</v>
          </cell>
          <cell r="I115">
            <v>42</v>
          </cell>
          <cell r="J115">
            <v>51</v>
          </cell>
          <cell r="K115">
            <v>60</v>
          </cell>
          <cell r="L115">
            <v>60</v>
          </cell>
        </row>
        <row r="116">
          <cell r="B116">
            <v>5031</v>
          </cell>
          <cell r="C116" t="str">
            <v>E</v>
          </cell>
          <cell r="D116">
            <v>21</v>
          </cell>
          <cell r="E116">
            <v>75</v>
          </cell>
          <cell r="F116">
            <v>2</v>
          </cell>
          <cell r="G116">
            <v>0</v>
          </cell>
          <cell r="I116">
            <v>11</v>
          </cell>
          <cell r="J116">
            <v>13</v>
          </cell>
          <cell r="K116">
            <v>21</v>
          </cell>
          <cell r="L116">
            <v>21</v>
          </cell>
        </row>
        <row r="117">
          <cell r="B117">
            <v>5032</v>
          </cell>
          <cell r="C117" t="str">
            <v>E</v>
          </cell>
          <cell r="D117">
            <v>41</v>
          </cell>
          <cell r="E117">
            <v>75</v>
          </cell>
          <cell r="F117">
            <v>2</v>
          </cell>
          <cell r="G117">
            <v>0</v>
          </cell>
          <cell r="I117">
            <v>11</v>
          </cell>
          <cell r="J117">
            <v>13</v>
          </cell>
          <cell r="K117">
            <v>21</v>
          </cell>
          <cell r="L117">
            <v>21</v>
          </cell>
        </row>
        <row r="118">
          <cell r="B118">
            <v>5106</v>
          </cell>
          <cell r="C118" t="str">
            <v>E</v>
          </cell>
          <cell r="D118">
            <v>41</v>
          </cell>
          <cell r="E118">
            <v>75</v>
          </cell>
          <cell r="F118">
            <v>2</v>
          </cell>
          <cell r="G118">
            <v>0</v>
          </cell>
          <cell r="I118">
            <v>11</v>
          </cell>
          <cell r="J118">
            <v>13</v>
          </cell>
          <cell r="K118">
            <v>21</v>
          </cell>
          <cell r="L118">
            <v>21</v>
          </cell>
        </row>
        <row r="119">
          <cell r="B119">
            <v>5133</v>
          </cell>
          <cell r="C119" t="str">
            <v>E</v>
          </cell>
          <cell r="D119">
            <v>21</v>
          </cell>
          <cell r="E119">
            <v>75</v>
          </cell>
          <cell r="F119">
            <v>2</v>
          </cell>
          <cell r="G119">
            <v>0</v>
          </cell>
          <cell r="I119">
            <v>11</v>
          </cell>
          <cell r="J119">
            <v>13</v>
          </cell>
          <cell r="K119">
            <v>21</v>
          </cell>
          <cell r="L119">
            <v>21</v>
          </cell>
        </row>
        <row r="120">
          <cell r="B120">
            <v>5520</v>
          </cell>
          <cell r="C120" t="str">
            <v>E</v>
          </cell>
          <cell r="D120">
            <v>21</v>
          </cell>
          <cell r="E120">
            <v>75</v>
          </cell>
          <cell r="F120">
            <v>2</v>
          </cell>
          <cell r="G120">
            <v>0</v>
          </cell>
          <cell r="I120">
            <v>11</v>
          </cell>
          <cell r="J120">
            <v>13</v>
          </cell>
          <cell r="K120">
            <v>21</v>
          </cell>
          <cell r="L120">
            <v>21</v>
          </cell>
        </row>
        <row r="121">
          <cell r="B121">
            <v>5521</v>
          </cell>
          <cell r="C121" t="str">
            <v>E</v>
          </cell>
          <cell r="D121">
            <v>21</v>
          </cell>
          <cell r="E121">
            <v>75</v>
          </cell>
          <cell r="F121">
            <v>2</v>
          </cell>
          <cell r="G121">
            <v>0</v>
          </cell>
          <cell r="I121">
            <v>11</v>
          </cell>
          <cell r="J121">
            <v>13</v>
          </cell>
          <cell r="K121">
            <v>21</v>
          </cell>
          <cell r="L121">
            <v>21</v>
          </cell>
        </row>
        <row r="122">
          <cell r="B122">
            <v>5300</v>
          </cell>
          <cell r="C122" t="str">
            <v>Ea</v>
          </cell>
          <cell r="D122">
            <v>31</v>
          </cell>
          <cell r="E122">
            <v>75</v>
          </cell>
          <cell r="F122">
            <v>4</v>
          </cell>
          <cell r="G122">
            <v>0</v>
          </cell>
          <cell r="I122">
            <v>25</v>
          </cell>
          <cell r="J122">
            <v>25</v>
          </cell>
          <cell r="K122">
            <v>42</v>
          </cell>
          <cell r="L122">
            <v>25</v>
          </cell>
        </row>
        <row r="123">
          <cell r="B123">
            <v>5379</v>
          </cell>
          <cell r="C123" t="str">
            <v>Ean</v>
          </cell>
          <cell r="D123">
            <v>31</v>
          </cell>
          <cell r="E123">
            <v>75</v>
          </cell>
          <cell r="F123">
            <v>4</v>
          </cell>
          <cell r="G123">
            <v>0</v>
          </cell>
          <cell r="I123">
            <v>26</v>
          </cell>
          <cell r="J123">
            <v>32</v>
          </cell>
          <cell r="K123">
            <v>56</v>
          </cell>
          <cell r="L123">
            <v>32</v>
          </cell>
        </row>
        <row r="124">
          <cell r="B124">
            <v>5900</v>
          </cell>
          <cell r="C124" t="str">
            <v>Ea</v>
          </cell>
          <cell r="D124">
            <v>81</v>
          </cell>
          <cell r="E124">
            <v>75</v>
          </cell>
          <cell r="F124">
            <v>4</v>
          </cell>
          <cell r="G124">
            <v>0</v>
          </cell>
          <cell r="I124">
            <v>27</v>
          </cell>
          <cell r="J124">
            <v>25</v>
          </cell>
          <cell r="K124">
            <v>42</v>
          </cell>
          <cell r="L124">
            <v>43</v>
          </cell>
        </row>
        <row r="125">
          <cell r="B125">
            <v>5950</v>
          </cell>
          <cell r="C125" t="str">
            <v>Ean</v>
          </cell>
          <cell r="D125">
            <v>31</v>
          </cell>
          <cell r="E125">
            <v>97</v>
          </cell>
          <cell r="F125">
            <v>4</v>
          </cell>
          <cell r="G125">
            <v>0</v>
          </cell>
          <cell r="I125">
            <v>22</v>
          </cell>
          <cell r="J125">
            <v>25</v>
          </cell>
          <cell r="K125">
            <v>52</v>
          </cell>
          <cell r="L125">
            <v>35</v>
          </cell>
        </row>
        <row r="126">
          <cell r="B126">
            <v>5951</v>
          </cell>
          <cell r="C126" t="str">
            <v>Ea.</v>
          </cell>
          <cell r="D126">
            <v>33</v>
          </cell>
          <cell r="E126">
            <v>75</v>
          </cell>
          <cell r="F126">
            <v>4</v>
          </cell>
          <cell r="G126">
            <v>0</v>
          </cell>
          <cell r="I126">
            <v>21</v>
          </cell>
          <cell r="J126">
            <v>26</v>
          </cell>
          <cell r="K126">
            <v>52</v>
          </cell>
          <cell r="L126">
            <v>35</v>
          </cell>
        </row>
        <row r="127">
          <cell r="B127">
            <v>6377</v>
          </cell>
          <cell r="C127" t="str">
            <v>Fas</v>
          </cell>
          <cell r="D127">
            <v>31</v>
          </cell>
          <cell r="E127">
            <v>75</v>
          </cell>
          <cell r="F127">
            <v>4</v>
          </cell>
          <cell r="G127">
            <v>0</v>
          </cell>
          <cell r="I127">
            <v>27</v>
          </cell>
          <cell r="J127">
            <v>23</v>
          </cell>
          <cell r="K127">
            <v>46</v>
          </cell>
          <cell r="L127">
            <v>38</v>
          </cell>
        </row>
        <row r="128">
          <cell r="B128">
            <v>6655</v>
          </cell>
          <cell r="C128" t="str">
            <v>Fal.</v>
          </cell>
          <cell r="D128">
            <v>33</v>
          </cell>
          <cell r="E128">
            <v>75</v>
          </cell>
          <cell r="F128">
            <v>4</v>
          </cell>
          <cell r="G128">
            <v>0</v>
          </cell>
          <cell r="I128">
            <v>23</v>
          </cell>
          <cell r="J128">
            <v>26</v>
          </cell>
          <cell r="K128">
            <v>55</v>
          </cell>
          <cell r="L128">
            <v>45</v>
          </cell>
        </row>
        <row r="129">
          <cell r="B129">
            <v>6552</v>
          </cell>
          <cell r="C129" t="str">
            <v>Fal</v>
          </cell>
          <cell r="D129">
            <v>81</v>
          </cell>
          <cell r="E129">
            <v>75</v>
          </cell>
          <cell r="F129">
            <v>4</v>
          </cell>
          <cell r="G129">
            <v>0</v>
          </cell>
          <cell r="I129">
            <v>24</v>
          </cell>
          <cell r="J129">
            <v>22</v>
          </cell>
          <cell r="K129">
            <v>41</v>
          </cell>
          <cell r="L129">
            <v>41</v>
          </cell>
        </row>
        <row r="130">
          <cell r="B130">
            <v>6553</v>
          </cell>
          <cell r="C130" t="str">
            <v>Fal</v>
          </cell>
          <cell r="D130">
            <v>81</v>
          </cell>
          <cell r="E130">
            <v>75</v>
          </cell>
          <cell r="F130">
            <v>4</v>
          </cell>
          <cell r="G130">
            <v>0</v>
          </cell>
          <cell r="I130">
            <v>24</v>
          </cell>
          <cell r="J130">
            <v>22</v>
          </cell>
          <cell r="K130">
            <v>41</v>
          </cell>
          <cell r="L130">
            <v>41</v>
          </cell>
        </row>
        <row r="131">
          <cell r="B131">
            <v>6554</v>
          </cell>
          <cell r="C131" t="str">
            <v>Fal</v>
          </cell>
          <cell r="D131">
            <v>81</v>
          </cell>
          <cell r="E131">
            <v>75</v>
          </cell>
          <cell r="F131">
            <v>4</v>
          </cell>
          <cell r="G131">
            <v>0</v>
          </cell>
          <cell r="I131">
            <v>24</v>
          </cell>
          <cell r="J131">
            <v>22</v>
          </cell>
          <cell r="K131">
            <v>41</v>
          </cell>
          <cell r="L131">
            <v>41</v>
          </cell>
        </row>
        <row r="132">
          <cell r="B132">
            <v>6650</v>
          </cell>
          <cell r="C132" t="str">
            <v>Fas</v>
          </cell>
          <cell r="D132">
            <v>31</v>
          </cell>
          <cell r="E132">
            <v>75</v>
          </cell>
          <cell r="F132">
            <v>4</v>
          </cell>
          <cell r="G132">
            <v>0</v>
          </cell>
          <cell r="I132">
            <v>27</v>
          </cell>
          <cell r="J132">
            <v>23</v>
          </cell>
          <cell r="K132">
            <v>46</v>
          </cell>
          <cell r="L132">
            <v>38</v>
          </cell>
        </row>
        <row r="133">
          <cell r="B133">
            <v>6651</v>
          </cell>
          <cell r="C133" t="str">
            <v>Fas</v>
          </cell>
          <cell r="D133">
            <v>31</v>
          </cell>
          <cell r="E133">
            <v>75</v>
          </cell>
          <cell r="F133">
            <v>4</v>
          </cell>
          <cell r="G133">
            <v>0</v>
          </cell>
          <cell r="I133">
            <v>27</v>
          </cell>
          <cell r="J133">
            <v>23</v>
          </cell>
          <cell r="K133">
            <v>46</v>
          </cell>
          <cell r="L133">
            <v>38</v>
          </cell>
        </row>
        <row r="134">
          <cell r="B134">
            <v>6652</v>
          </cell>
          <cell r="C134" t="str">
            <v>Fas</v>
          </cell>
          <cell r="D134">
            <v>31</v>
          </cell>
          <cell r="E134">
            <v>75</v>
          </cell>
          <cell r="F134">
            <v>4</v>
          </cell>
          <cell r="G134">
            <v>0</v>
          </cell>
          <cell r="I134">
            <v>27</v>
          </cell>
          <cell r="J134">
            <v>23</v>
          </cell>
          <cell r="K134">
            <v>46</v>
          </cell>
          <cell r="L134">
            <v>38</v>
          </cell>
        </row>
        <row r="135">
          <cell r="B135">
            <v>6860</v>
          </cell>
          <cell r="C135" t="str">
            <v>Fal</v>
          </cell>
          <cell r="D135">
            <v>81</v>
          </cell>
          <cell r="E135">
            <v>75</v>
          </cell>
          <cell r="F135">
            <v>4</v>
          </cell>
          <cell r="G135">
            <v>0</v>
          </cell>
          <cell r="I135">
            <v>24</v>
          </cell>
          <cell r="J135">
            <v>22</v>
          </cell>
          <cell r="K135">
            <v>41</v>
          </cell>
          <cell r="L135">
            <v>41</v>
          </cell>
        </row>
        <row r="136">
          <cell r="B136">
            <v>6862</v>
          </cell>
          <cell r="C136" t="str">
            <v>Fal</v>
          </cell>
          <cell r="D136">
            <v>81</v>
          </cell>
          <cell r="E136">
            <v>75</v>
          </cell>
          <cell r="F136">
            <v>4</v>
          </cell>
          <cell r="G136">
            <v>0</v>
          </cell>
          <cell r="I136">
            <v>24</v>
          </cell>
          <cell r="J136">
            <v>22</v>
          </cell>
          <cell r="K136">
            <v>41</v>
          </cell>
          <cell r="L136">
            <v>41</v>
          </cell>
        </row>
        <row r="137">
          <cell r="B137">
            <v>6863</v>
          </cell>
          <cell r="C137" t="str">
            <v>Fal</v>
          </cell>
          <cell r="D137">
            <v>81</v>
          </cell>
          <cell r="E137">
            <v>75</v>
          </cell>
          <cell r="F137">
            <v>4</v>
          </cell>
          <cell r="G137">
            <v>0</v>
          </cell>
          <cell r="I137">
            <v>24</v>
          </cell>
          <cell r="J137">
            <v>22</v>
          </cell>
          <cell r="K137">
            <v>41</v>
          </cell>
          <cell r="L137">
            <v>41</v>
          </cell>
        </row>
        <row r="138">
          <cell r="B138">
            <v>7011</v>
          </cell>
          <cell r="C138" t="str">
            <v>WLA</v>
          </cell>
          <cell r="D138">
            <v>51</v>
          </cell>
          <cell r="E138">
            <v>75</v>
          </cell>
          <cell r="F138">
            <v>4</v>
          </cell>
          <cell r="G138">
            <v>0</v>
          </cell>
          <cell r="I138">
            <v>41</v>
          </cell>
          <cell r="J138">
            <v>46</v>
          </cell>
          <cell r="K138">
            <v>46</v>
          </cell>
          <cell r="L138">
            <v>46</v>
          </cell>
        </row>
        <row r="139">
          <cell r="B139">
            <v>7020</v>
          </cell>
          <cell r="C139" t="str">
            <v>Z</v>
          </cell>
          <cell r="D139">
            <v>81</v>
          </cell>
          <cell r="E139">
            <v>75</v>
          </cell>
          <cell r="F139">
            <v>4</v>
          </cell>
          <cell r="G139">
            <v>0</v>
          </cell>
          <cell r="I139">
            <v>12</v>
          </cell>
          <cell r="J139">
            <v>11</v>
          </cell>
          <cell r="K139">
            <v>20</v>
          </cell>
          <cell r="L139">
            <v>21</v>
          </cell>
        </row>
        <row r="140">
          <cell r="B140">
            <v>7580</v>
          </cell>
          <cell r="C140" t="str">
            <v>Za</v>
          </cell>
          <cell r="D140">
            <v>81</v>
          </cell>
          <cell r="E140">
            <v>75</v>
          </cell>
          <cell r="F140">
            <v>4</v>
          </cell>
          <cell r="G140">
            <v>0</v>
          </cell>
          <cell r="I140">
            <v>23</v>
          </cell>
          <cell r="J140">
            <v>23</v>
          </cell>
          <cell r="K140">
            <v>42</v>
          </cell>
          <cell r="L140">
            <v>42</v>
          </cell>
        </row>
        <row r="141">
          <cell r="B141">
            <v>7581</v>
          </cell>
          <cell r="C141" t="str">
            <v>Za</v>
          </cell>
          <cell r="D141">
            <v>81</v>
          </cell>
          <cell r="E141">
            <v>75</v>
          </cell>
          <cell r="F141">
            <v>4</v>
          </cell>
          <cell r="G141">
            <v>0</v>
          </cell>
          <cell r="I141">
            <v>23</v>
          </cell>
          <cell r="J141">
            <v>23</v>
          </cell>
          <cell r="K141">
            <v>42</v>
          </cell>
          <cell r="L141">
            <v>42</v>
          </cell>
        </row>
        <row r="142">
          <cell r="B142">
            <v>7801</v>
          </cell>
          <cell r="C142" t="str">
            <v>Za</v>
          </cell>
          <cell r="D142">
            <v>33</v>
          </cell>
          <cell r="E142">
            <v>80</v>
          </cell>
          <cell r="F142">
            <v>4</v>
          </cell>
          <cell r="G142">
            <v>0</v>
          </cell>
          <cell r="I142">
            <v>23</v>
          </cell>
          <cell r="J142">
            <v>23</v>
          </cell>
          <cell r="K142">
            <v>42</v>
          </cell>
          <cell r="L142">
            <v>42</v>
          </cell>
        </row>
        <row r="143">
          <cell r="B143">
            <v>7809</v>
          </cell>
          <cell r="C143" t="str">
            <v>Za</v>
          </cell>
          <cell r="D143">
            <v>33</v>
          </cell>
          <cell r="E143">
            <v>80</v>
          </cell>
          <cell r="F143">
            <v>4</v>
          </cell>
          <cell r="G143">
            <v>0</v>
          </cell>
          <cell r="I143">
            <v>23</v>
          </cell>
          <cell r="J143">
            <v>23</v>
          </cell>
          <cell r="K143">
            <v>42</v>
          </cell>
          <cell r="L143">
            <v>42</v>
          </cell>
        </row>
        <row r="144">
          <cell r="B144">
            <v>7810</v>
          </cell>
          <cell r="C144" t="str">
            <v>Za</v>
          </cell>
          <cell r="D144">
            <v>33</v>
          </cell>
          <cell r="E144">
            <v>80</v>
          </cell>
          <cell r="F144">
            <v>4</v>
          </cell>
          <cell r="G144">
            <v>0</v>
          </cell>
          <cell r="I144">
            <v>23</v>
          </cell>
          <cell r="J144">
            <v>23</v>
          </cell>
          <cell r="K144">
            <v>42</v>
          </cell>
          <cell r="L144">
            <v>42</v>
          </cell>
        </row>
        <row r="145">
          <cell r="B145">
            <v>7811</v>
          </cell>
          <cell r="C145" t="str">
            <v>Za</v>
          </cell>
          <cell r="D145">
            <v>33</v>
          </cell>
          <cell r="E145">
            <v>80</v>
          </cell>
          <cell r="F145">
            <v>4</v>
          </cell>
          <cell r="G145">
            <v>0</v>
          </cell>
          <cell r="I145">
            <v>23</v>
          </cell>
          <cell r="J145">
            <v>23</v>
          </cell>
          <cell r="K145">
            <v>42</v>
          </cell>
          <cell r="L145">
            <v>42</v>
          </cell>
        </row>
        <row r="146">
          <cell r="B146">
            <v>7812</v>
          </cell>
          <cell r="C146" t="str">
            <v>za</v>
          </cell>
          <cell r="D146">
            <v>33</v>
          </cell>
          <cell r="E146">
            <v>80</v>
          </cell>
          <cell r="F146">
            <v>4</v>
          </cell>
          <cell r="I146">
            <v>23</v>
          </cell>
          <cell r="J146">
            <v>23</v>
          </cell>
          <cell r="K146">
            <v>42</v>
          </cell>
          <cell r="L146">
            <v>42</v>
          </cell>
        </row>
        <row r="147">
          <cell r="B147">
            <v>7813</v>
          </cell>
          <cell r="C147" t="str">
            <v>Za</v>
          </cell>
          <cell r="D147">
            <v>33</v>
          </cell>
          <cell r="E147">
            <v>53</v>
          </cell>
          <cell r="F147">
            <v>4</v>
          </cell>
          <cell r="G147">
            <v>0</v>
          </cell>
          <cell r="I147">
            <v>23</v>
          </cell>
          <cell r="J147">
            <v>23</v>
          </cell>
          <cell r="K147">
            <v>42</v>
          </cell>
          <cell r="L147">
            <v>42</v>
          </cell>
        </row>
        <row r="148">
          <cell r="B148">
            <v>7816</v>
          </cell>
          <cell r="C148" t="str">
            <v>Za</v>
          </cell>
          <cell r="D148">
            <v>33</v>
          </cell>
          <cell r="E148">
            <v>53</v>
          </cell>
          <cell r="F148">
            <v>4</v>
          </cell>
          <cell r="G148">
            <v>0</v>
          </cell>
          <cell r="I148">
            <v>23</v>
          </cell>
          <cell r="J148">
            <v>23</v>
          </cell>
          <cell r="K148">
            <v>42</v>
          </cell>
          <cell r="L148">
            <v>42</v>
          </cell>
        </row>
        <row r="149">
          <cell r="B149">
            <v>7848</v>
          </cell>
          <cell r="C149" t="str">
            <v>Za</v>
          </cell>
          <cell r="D149">
            <v>81</v>
          </cell>
          <cell r="E149">
            <v>75</v>
          </cell>
          <cell r="F149">
            <v>4</v>
          </cell>
          <cell r="G149">
            <v>0</v>
          </cell>
          <cell r="I149">
            <v>23</v>
          </cell>
          <cell r="J149">
            <v>23</v>
          </cell>
          <cell r="K149">
            <v>42</v>
          </cell>
          <cell r="L149">
            <v>42</v>
          </cell>
        </row>
        <row r="150">
          <cell r="B150">
            <v>7849</v>
          </cell>
          <cell r="C150" t="str">
            <v>Za</v>
          </cell>
          <cell r="D150">
            <v>31</v>
          </cell>
          <cell r="E150">
            <v>75</v>
          </cell>
          <cell r="F150">
            <v>4</v>
          </cell>
          <cell r="G150">
            <v>0</v>
          </cell>
          <cell r="I150">
            <v>23</v>
          </cell>
          <cell r="J150">
            <v>23</v>
          </cell>
          <cell r="K150">
            <v>42</v>
          </cell>
          <cell r="L150">
            <v>42</v>
          </cell>
        </row>
        <row r="151">
          <cell r="B151">
            <v>7850</v>
          </cell>
          <cell r="C151" t="str">
            <v>Za</v>
          </cell>
          <cell r="D151">
            <v>81</v>
          </cell>
          <cell r="E151">
            <v>75</v>
          </cell>
          <cell r="F151">
            <v>4</v>
          </cell>
          <cell r="G151">
            <v>0</v>
          </cell>
          <cell r="I151">
            <v>23</v>
          </cell>
          <cell r="J151">
            <v>23</v>
          </cell>
          <cell r="K151">
            <v>42</v>
          </cell>
          <cell r="L151">
            <v>42</v>
          </cell>
        </row>
        <row r="152">
          <cell r="B152">
            <v>7851</v>
          </cell>
          <cell r="C152" t="str">
            <v>Za</v>
          </cell>
          <cell r="D152">
            <v>31</v>
          </cell>
          <cell r="E152">
            <v>75</v>
          </cell>
          <cell r="F152">
            <v>4</v>
          </cell>
          <cell r="G152">
            <v>0</v>
          </cell>
          <cell r="I152">
            <v>23</v>
          </cell>
          <cell r="J152">
            <v>23</v>
          </cell>
          <cell r="K152">
            <v>42</v>
          </cell>
          <cell r="L152">
            <v>42</v>
          </cell>
        </row>
        <row r="153">
          <cell r="B153">
            <v>7852</v>
          </cell>
          <cell r="C153" t="str">
            <v>Za</v>
          </cell>
          <cell r="D153">
            <v>81</v>
          </cell>
          <cell r="E153">
            <v>75</v>
          </cell>
          <cell r="F153">
            <v>4</v>
          </cell>
          <cell r="G153">
            <v>0</v>
          </cell>
          <cell r="I153">
            <v>23</v>
          </cell>
          <cell r="J153">
            <v>23</v>
          </cell>
          <cell r="K153">
            <v>42</v>
          </cell>
          <cell r="L153">
            <v>42</v>
          </cell>
        </row>
        <row r="154">
          <cell r="B154">
            <v>7878</v>
          </cell>
          <cell r="C154" t="str">
            <v>Za</v>
          </cell>
          <cell r="D154">
            <v>31</v>
          </cell>
          <cell r="E154">
            <v>75</v>
          </cell>
          <cell r="F154">
            <v>4</v>
          </cell>
          <cell r="G154">
            <v>0</v>
          </cell>
          <cell r="I154">
            <v>23</v>
          </cell>
          <cell r="J154">
            <v>23</v>
          </cell>
          <cell r="K154">
            <v>42</v>
          </cell>
          <cell r="L154">
            <v>42</v>
          </cell>
        </row>
        <row r="155">
          <cell r="B155">
            <v>7900</v>
          </cell>
          <cell r="C155" t="str">
            <v>Za</v>
          </cell>
          <cell r="D155">
            <v>81</v>
          </cell>
          <cell r="E155">
            <v>75</v>
          </cell>
          <cell r="F155">
            <v>4</v>
          </cell>
          <cell r="I155">
            <v>23</v>
          </cell>
          <cell r="J155">
            <v>23</v>
          </cell>
          <cell r="K155">
            <v>23</v>
          </cell>
          <cell r="L155">
            <v>42</v>
          </cell>
        </row>
        <row r="156">
          <cell r="B156">
            <v>7901</v>
          </cell>
          <cell r="C156" t="str">
            <v>Za</v>
          </cell>
          <cell r="D156">
            <v>31</v>
          </cell>
          <cell r="E156">
            <v>75</v>
          </cell>
          <cell r="F156">
            <v>4</v>
          </cell>
          <cell r="I156">
            <v>22</v>
          </cell>
          <cell r="J156">
            <v>23</v>
          </cell>
          <cell r="K156">
            <v>53</v>
          </cell>
          <cell r="L156">
            <v>42</v>
          </cell>
        </row>
        <row r="157">
          <cell r="B157">
            <v>7912</v>
          </cell>
          <cell r="C157" t="str">
            <v>Za</v>
          </cell>
          <cell r="D157">
            <v>33</v>
          </cell>
          <cell r="E157">
            <v>80</v>
          </cell>
          <cell r="F157">
            <v>4</v>
          </cell>
          <cell r="G157">
            <v>0</v>
          </cell>
          <cell r="I157">
            <v>23</v>
          </cell>
          <cell r="J157">
            <v>23</v>
          </cell>
          <cell r="K157">
            <v>42</v>
          </cell>
          <cell r="L157">
            <v>42</v>
          </cell>
        </row>
        <row r="158">
          <cell r="B158">
            <v>7950</v>
          </cell>
          <cell r="C158" t="str">
            <v>Za</v>
          </cell>
          <cell r="D158">
            <v>33</v>
          </cell>
          <cell r="E158">
            <v>75</v>
          </cell>
          <cell r="F158">
            <v>4</v>
          </cell>
          <cell r="G158">
            <v>0</v>
          </cell>
          <cell r="I158">
            <v>23</v>
          </cell>
          <cell r="J158">
            <v>23</v>
          </cell>
          <cell r="K158">
            <v>42</v>
          </cell>
          <cell r="L158">
            <v>42</v>
          </cell>
        </row>
        <row r="159">
          <cell r="B159">
            <v>7951</v>
          </cell>
          <cell r="C159" t="str">
            <v>Za</v>
          </cell>
          <cell r="D159">
            <v>33</v>
          </cell>
          <cell r="E159">
            <v>75</v>
          </cell>
          <cell r="F159">
            <v>4</v>
          </cell>
          <cell r="G159">
            <v>0</v>
          </cell>
          <cell r="I159">
            <v>23</v>
          </cell>
          <cell r="J159">
            <v>23</v>
          </cell>
          <cell r="K159">
            <v>42</v>
          </cell>
          <cell r="L159">
            <v>42</v>
          </cell>
        </row>
        <row r="160">
          <cell r="B160">
            <v>7980</v>
          </cell>
          <cell r="C160" t="str">
            <v>Za</v>
          </cell>
          <cell r="D160">
            <v>33</v>
          </cell>
          <cell r="E160">
            <v>75</v>
          </cell>
          <cell r="F160">
            <v>4</v>
          </cell>
          <cell r="G160">
            <v>0</v>
          </cell>
          <cell r="I160">
            <v>23</v>
          </cell>
          <cell r="J160">
            <v>23</v>
          </cell>
          <cell r="K160">
            <v>42</v>
          </cell>
          <cell r="L160">
            <v>42</v>
          </cell>
        </row>
        <row r="161">
          <cell r="B161">
            <v>7981</v>
          </cell>
          <cell r="C161" t="str">
            <v>Za</v>
          </cell>
          <cell r="D161">
            <v>33</v>
          </cell>
          <cell r="E161">
            <v>75</v>
          </cell>
          <cell r="F161">
            <v>4</v>
          </cell>
          <cell r="G161">
            <v>0</v>
          </cell>
          <cell r="I161">
            <v>23</v>
          </cell>
          <cell r="J161">
            <v>23</v>
          </cell>
          <cell r="K161">
            <v>42</v>
          </cell>
          <cell r="L161">
            <v>42</v>
          </cell>
        </row>
        <row r="162">
          <cell r="B162">
            <v>8211</v>
          </cell>
          <cell r="C162" t="str">
            <v>B</v>
          </cell>
          <cell r="D162">
            <v>50</v>
          </cell>
          <cell r="E162">
            <v>75</v>
          </cell>
          <cell r="F162">
            <v>4</v>
          </cell>
          <cell r="G162">
            <v>0</v>
          </cell>
          <cell r="I162">
            <v>38</v>
          </cell>
          <cell r="J162">
            <v>44</v>
          </cell>
          <cell r="K162">
            <v>68</v>
          </cell>
          <cell r="L162">
            <v>68</v>
          </cell>
        </row>
        <row r="163">
          <cell r="B163">
            <v>8811</v>
          </cell>
          <cell r="C163" t="str">
            <v>WR</v>
          </cell>
          <cell r="D163">
            <v>51</v>
          </cell>
          <cell r="E163">
            <v>75</v>
          </cell>
          <cell r="F163">
            <v>4</v>
          </cell>
          <cell r="G163">
            <v>0</v>
          </cell>
          <cell r="I163">
            <v>40</v>
          </cell>
          <cell r="J163">
            <v>47</v>
          </cell>
          <cell r="K163">
            <v>47</v>
          </cell>
          <cell r="L163">
            <v>47</v>
          </cell>
        </row>
        <row r="164">
          <cell r="B164">
            <v>9103</v>
          </cell>
          <cell r="C164" t="str">
            <v>D+</v>
          </cell>
          <cell r="D164">
            <v>50</v>
          </cell>
          <cell r="E164">
            <v>75</v>
          </cell>
          <cell r="F164">
            <v>4</v>
          </cell>
          <cell r="G164">
            <v>0</v>
          </cell>
          <cell r="I164">
            <v>43</v>
          </cell>
          <cell r="J164">
            <v>45</v>
          </cell>
          <cell r="K164">
            <v>45</v>
          </cell>
          <cell r="L164">
            <v>45</v>
          </cell>
        </row>
        <row r="165">
          <cell r="B165">
            <v>9203</v>
          </cell>
          <cell r="C165" t="str">
            <v xml:space="preserve">D  </v>
          </cell>
          <cell r="D165">
            <v>50</v>
          </cell>
          <cell r="E165">
            <v>75</v>
          </cell>
          <cell r="F165">
            <v>4</v>
          </cell>
          <cell r="G165">
            <v>0</v>
          </cell>
          <cell r="I165">
            <v>31</v>
          </cell>
          <cell r="J165">
            <v>35</v>
          </cell>
          <cell r="K165">
            <v>35</v>
          </cell>
          <cell r="L165">
            <v>35</v>
          </cell>
        </row>
        <row r="166">
          <cell r="B166">
            <v>9229</v>
          </cell>
          <cell r="C166" t="str">
            <v>Das</v>
          </cell>
          <cell r="D166">
            <v>60</v>
          </cell>
          <cell r="E166">
            <v>75</v>
          </cell>
          <cell r="F166">
            <v>4</v>
          </cell>
          <cell r="G166">
            <v>0</v>
          </cell>
          <cell r="I166">
            <v>28</v>
          </cell>
          <cell r="J166">
            <v>23</v>
          </cell>
          <cell r="K166">
            <v>23</v>
          </cell>
          <cell r="L166">
            <v>23</v>
          </cell>
        </row>
        <row r="167">
          <cell r="B167">
            <v>9300</v>
          </cell>
          <cell r="C167" t="str">
            <v>Ua</v>
          </cell>
          <cell r="D167">
            <v>31</v>
          </cell>
          <cell r="E167">
            <v>75</v>
          </cell>
          <cell r="F167">
            <v>4</v>
          </cell>
          <cell r="I167">
            <v>22</v>
          </cell>
          <cell r="J167">
            <v>24</v>
          </cell>
          <cell r="K167">
            <v>46</v>
          </cell>
          <cell r="L167">
            <v>44</v>
          </cell>
        </row>
        <row r="168">
          <cell r="B168">
            <v>9320</v>
          </cell>
          <cell r="C168" t="str">
            <v>Dy</v>
          </cell>
          <cell r="D168">
            <v>50</v>
          </cell>
          <cell r="E168">
            <v>75</v>
          </cell>
          <cell r="F168">
            <v>2</v>
          </cell>
          <cell r="G168">
            <v>0</v>
          </cell>
          <cell r="I168">
            <v>18</v>
          </cell>
          <cell r="J168">
            <v>18</v>
          </cell>
          <cell r="K168">
            <v>18</v>
          </cell>
          <cell r="L168">
            <v>18</v>
          </cell>
        </row>
        <row r="169">
          <cell r="B169">
            <v>9329</v>
          </cell>
          <cell r="C169" t="str">
            <v>Ug</v>
          </cell>
          <cell r="D169">
            <v>31</v>
          </cell>
          <cell r="E169">
            <v>75</v>
          </cell>
          <cell r="F169">
            <v>4</v>
          </cell>
          <cell r="G169">
            <v>0</v>
          </cell>
          <cell r="I169">
            <v>28</v>
          </cell>
          <cell r="J169">
            <v>29</v>
          </cell>
          <cell r="K169">
            <v>50</v>
          </cell>
          <cell r="L169">
            <v>52</v>
          </cell>
        </row>
        <row r="170">
          <cell r="B170">
            <v>9358</v>
          </cell>
          <cell r="C170" t="str">
            <v>Ug</v>
          </cell>
          <cell r="D170">
            <v>31</v>
          </cell>
          <cell r="E170">
            <v>75</v>
          </cell>
          <cell r="F170">
            <v>4</v>
          </cell>
          <cell r="G170">
            <v>0</v>
          </cell>
          <cell r="I170">
            <v>28</v>
          </cell>
          <cell r="J170">
            <v>29</v>
          </cell>
          <cell r="K170">
            <v>50</v>
          </cell>
          <cell r="L170">
            <v>52</v>
          </cell>
        </row>
        <row r="171">
          <cell r="B171">
            <v>9338</v>
          </cell>
          <cell r="C171" t="str">
            <v>Uag</v>
          </cell>
          <cell r="D171">
            <v>31</v>
          </cell>
          <cell r="E171">
            <v>52</v>
          </cell>
          <cell r="F171">
            <v>4</v>
          </cell>
          <cell r="G171">
            <v>0</v>
          </cell>
          <cell r="I171">
            <v>23</v>
          </cell>
          <cell r="J171">
            <v>25</v>
          </cell>
          <cell r="K171">
            <v>52</v>
          </cell>
          <cell r="L171">
            <v>45</v>
          </cell>
        </row>
        <row r="172">
          <cell r="B172">
            <v>9339</v>
          </cell>
          <cell r="C172" t="str">
            <v>Uag</v>
          </cell>
          <cell r="D172">
            <v>31</v>
          </cell>
          <cell r="E172">
            <v>52</v>
          </cell>
          <cell r="F172">
            <v>4</v>
          </cell>
          <cell r="G172">
            <v>0</v>
          </cell>
          <cell r="I172">
            <v>23</v>
          </cell>
          <cell r="J172">
            <v>25</v>
          </cell>
          <cell r="K172">
            <v>52</v>
          </cell>
          <cell r="L172">
            <v>45</v>
          </cell>
        </row>
        <row r="173">
          <cell r="B173">
            <v>9119</v>
          </cell>
          <cell r="C173" t="str">
            <v>UCS</v>
          </cell>
          <cell r="D173">
            <v>23</v>
          </cell>
          <cell r="E173">
            <v>75</v>
          </cell>
          <cell r="F173">
            <v>2</v>
          </cell>
          <cell r="G173">
            <v>0</v>
          </cell>
          <cell r="I173">
            <v>14</v>
          </cell>
          <cell r="J173">
            <v>11</v>
          </cell>
          <cell r="K173">
            <v>21</v>
          </cell>
          <cell r="L173">
            <v>22</v>
          </cell>
        </row>
        <row r="174">
          <cell r="B174">
            <v>9931</v>
          </cell>
          <cell r="C174" t="str">
            <v>Ui</v>
          </cell>
          <cell r="D174">
            <v>81</v>
          </cell>
          <cell r="E174">
            <v>75</v>
          </cell>
          <cell r="F174">
            <v>6</v>
          </cell>
          <cell r="G174">
            <v>0</v>
          </cell>
          <cell r="I174">
            <v>36</v>
          </cell>
          <cell r="J174">
            <v>37</v>
          </cell>
          <cell r="K174">
            <v>51</v>
          </cell>
          <cell r="L174">
            <v>57</v>
          </cell>
        </row>
        <row r="175">
          <cell r="B175">
            <v>9932</v>
          </cell>
          <cell r="C175" t="str">
            <v>Ui</v>
          </cell>
          <cell r="D175">
            <v>31</v>
          </cell>
          <cell r="E175">
            <v>75</v>
          </cell>
          <cell r="F175">
            <v>6</v>
          </cell>
          <cell r="I175">
            <v>50</v>
          </cell>
          <cell r="J175">
            <v>37</v>
          </cell>
          <cell r="K175">
            <v>51</v>
          </cell>
          <cell r="L175">
            <v>57</v>
          </cell>
        </row>
        <row r="176">
          <cell r="B176" t="str">
            <v>110.</v>
          </cell>
          <cell r="C176" t="str">
            <v>Sr</v>
          </cell>
          <cell r="D176">
            <v>21</v>
          </cell>
          <cell r="E176">
            <v>75</v>
          </cell>
          <cell r="F176">
            <v>2</v>
          </cell>
          <cell r="I176">
            <v>10</v>
          </cell>
          <cell r="J176">
            <v>14</v>
          </cell>
          <cell r="K176">
            <v>21</v>
          </cell>
          <cell r="L176">
            <v>21</v>
          </cell>
        </row>
        <row r="177">
          <cell r="B177" t="str">
            <v>1811.</v>
          </cell>
          <cell r="C177" t="str">
            <v>A</v>
          </cell>
          <cell r="D177">
            <v>51</v>
          </cell>
          <cell r="E177">
            <v>75</v>
          </cell>
          <cell r="F177">
            <v>4</v>
          </cell>
          <cell r="I177">
            <v>38</v>
          </cell>
          <cell r="J177">
            <v>44</v>
          </cell>
          <cell r="K177">
            <v>68</v>
          </cell>
          <cell r="L177">
            <v>68</v>
          </cell>
        </row>
        <row r="178">
          <cell r="B178">
            <v>2374</v>
          </cell>
          <cell r="C178" t="str">
            <v>Hb</v>
          </cell>
          <cell r="D178">
            <v>21</v>
          </cell>
          <cell r="E178">
            <v>81</v>
          </cell>
          <cell r="F178">
            <v>2</v>
          </cell>
          <cell r="I178">
            <v>17</v>
          </cell>
          <cell r="J178">
            <v>24</v>
          </cell>
          <cell r="K178">
            <v>36</v>
          </cell>
          <cell r="L178">
            <v>24</v>
          </cell>
        </row>
        <row r="179">
          <cell r="B179">
            <v>2254</v>
          </cell>
          <cell r="C179" t="str">
            <v>Hb</v>
          </cell>
          <cell r="D179">
            <v>21</v>
          </cell>
          <cell r="E179">
            <v>81</v>
          </cell>
          <cell r="F179">
            <v>2</v>
          </cell>
          <cell r="I179">
            <v>17</v>
          </cell>
          <cell r="J179">
            <v>24</v>
          </cell>
          <cell r="K179">
            <v>36</v>
          </cell>
          <cell r="L179">
            <v>24</v>
          </cell>
        </row>
        <row r="180">
          <cell r="B180">
            <v>2255</v>
          </cell>
          <cell r="C180" t="str">
            <v>Hb</v>
          </cell>
          <cell r="D180">
            <v>21</v>
          </cell>
          <cell r="E180">
            <v>81</v>
          </cell>
          <cell r="F180">
            <v>2</v>
          </cell>
          <cell r="I180">
            <v>17</v>
          </cell>
          <cell r="J180">
            <v>24</v>
          </cell>
          <cell r="K180">
            <v>36</v>
          </cell>
          <cell r="L180">
            <v>24</v>
          </cell>
        </row>
        <row r="181">
          <cell r="B181">
            <v>2256</v>
          </cell>
          <cell r="C181" t="str">
            <v>Hb</v>
          </cell>
          <cell r="D181">
            <v>21</v>
          </cell>
          <cell r="E181">
            <v>81</v>
          </cell>
          <cell r="F181">
            <v>2</v>
          </cell>
          <cell r="I181">
            <v>17</v>
          </cell>
          <cell r="J181">
            <v>24</v>
          </cell>
          <cell r="K181">
            <v>36</v>
          </cell>
          <cell r="L181">
            <v>24</v>
          </cell>
        </row>
        <row r="182">
          <cell r="B182">
            <v>851</v>
          </cell>
          <cell r="C182" t="str">
            <v>Ta</v>
          </cell>
          <cell r="D182">
            <v>31</v>
          </cell>
          <cell r="E182">
            <v>79</v>
          </cell>
          <cell r="F182">
            <v>4</v>
          </cell>
          <cell r="I182">
            <v>23</v>
          </cell>
          <cell r="J182">
            <v>26</v>
          </cell>
          <cell r="K182">
            <v>53</v>
          </cell>
          <cell r="L182">
            <v>44</v>
          </cell>
        </row>
        <row r="183">
          <cell r="B183">
            <v>4157</v>
          </cell>
          <cell r="C183" t="str">
            <v>Lbig</v>
          </cell>
          <cell r="D183">
            <v>23</v>
          </cell>
          <cell r="E183">
            <v>75</v>
          </cell>
          <cell r="F183">
            <v>4</v>
          </cell>
          <cell r="I183">
            <v>27</v>
          </cell>
          <cell r="J183">
            <v>25</v>
          </cell>
          <cell r="K183">
            <v>50</v>
          </cell>
          <cell r="L183">
            <v>52</v>
          </cell>
        </row>
        <row r="184">
          <cell r="B184">
            <v>3526</v>
          </cell>
          <cell r="C184" t="str">
            <v>Rs</v>
          </cell>
          <cell r="D184">
            <v>31</v>
          </cell>
          <cell r="E184">
            <v>51</v>
          </cell>
          <cell r="F184">
            <v>4</v>
          </cell>
          <cell r="I184">
            <v>21</v>
          </cell>
          <cell r="J184">
            <v>28</v>
          </cell>
          <cell r="K184">
            <v>51</v>
          </cell>
          <cell r="L184">
            <v>51</v>
          </cell>
        </row>
        <row r="185">
          <cell r="B185">
            <v>4569</v>
          </cell>
          <cell r="C185" t="str">
            <v>Sg</v>
          </cell>
          <cell r="D185">
            <v>31</v>
          </cell>
          <cell r="E185">
            <v>75</v>
          </cell>
          <cell r="F185">
            <v>4</v>
          </cell>
          <cell r="I185">
            <v>24</v>
          </cell>
          <cell r="J185">
            <v>29</v>
          </cell>
          <cell r="K185">
            <v>52</v>
          </cell>
          <cell r="L185">
            <v>38</v>
          </cell>
        </row>
        <row r="186">
          <cell r="B186">
            <v>3525</v>
          </cell>
          <cell r="C186" t="str">
            <v>Rs</v>
          </cell>
          <cell r="D186">
            <v>31</v>
          </cell>
          <cell r="E186">
            <v>43</v>
          </cell>
          <cell r="F186">
            <v>4</v>
          </cell>
          <cell r="I186">
            <v>21</v>
          </cell>
          <cell r="J186">
            <v>28</v>
          </cell>
          <cell r="K186">
            <v>51</v>
          </cell>
          <cell r="L186">
            <v>51</v>
          </cell>
        </row>
        <row r="187">
          <cell r="B187">
            <v>3560</v>
          </cell>
          <cell r="C187" t="str">
            <v xml:space="preserve">R  </v>
          </cell>
          <cell r="D187">
            <v>33</v>
          </cell>
          <cell r="E187">
            <v>75</v>
          </cell>
          <cell r="F187">
            <v>4</v>
          </cell>
          <cell r="I187">
            <v>22</v>
          </cell>
          <cell r="J187">
            <v>28</v>
          </cell>
          <cell r="K187">
            <v>51</v>
          </cell>
          <cell r="L187">
            <v>51</v>
          </cell>
        </row>
        <row r="188">
          <cell r="B188">
            <v>4503</v>
          </cell>
          <cell r="C188" t="str">
            <v>Sgs</v>
          </cell>
          <cell r="D188">
            <v>33</v>
          </cell>
          <cell r="E188">
            <v>75</v>
          </cell>
          <cell r="F188">
            <v>4</v>
          </cell>
          <cell r="I188">
            <v>21</v>
          </cell>
          <cell r="J188">
            <v>25</v>
          </cell>
          <cell r="K188">
            <v>51</v>
          </cell>
          <cell r="L188">
            <v>51</v>
          </cell>
        </row>
        <row r="189">
          <cell r="B189">
            <v>1073</v>
          </cell>
          <cell r="C189" t="str">
            <v>Wsp</v>
          </cell>
          <cell r="D189">
            <v>61</v>
          </cell>
          <cell r="E189">
            <v>75</v>
          </cell>
          <cell r="F189">
            <v>4</v>
          </cell>
          <cell r="I189">
            <v>47</v>
          </cell>
          <cell r="J189">
            <v>56</v>
          </cell>
          <cell r="K189">
            <v>56</v>
          </cell>
          <cell r="L189">
            <v>47</v>
          </cell>
        </row>
        <row r="190">
          <cell r="B190">
            <v>1003</v>
          </cell>
          <cell r="C190" t="str">
            <v>Wsp</v>
          </cell>
          <cell r="D190">
            <v>50</v>
          </cell>
          <cell r="E190">
            <v>75</v>
          </cell>
          <cell r="F190">
            <v>4</v>
          </cell>
          <cell r="I190">
            <v>47</v>
          </cell>
          <cell r="J190">
            <v>49</v>
          </cell>
          <cell r="K190">
            <v>49</v>
          </cell>
          <cell r="L190">
            <v>47</v>
          </cell>
        </row>
        <row r="191">
          <cell r="B191">
            <v>7075</v>
          </cell>
          <cell r="C191" t="str">
            <v>Wla</v>
          </cell>
          <cell r="D191">
            <v>51</v>
          </cell>
          <cell r="E191">
            <v>75</v>
          </cell>
          <cell r="F191">
            <v>4</v>
          </cell>
          <cell r="I191">
            <v>45</v>
          </cell>
          <cell r="J191">
            <v>47</v>
          </cell>
          <cell r="K191">
            <v>47</v>
          </cell>
          <cell r="L191">
            <v>47</v>
          </cell>
        </row>
        <row r="192">
          <cell r="B192">
            <v>8803</v>
          </cell>
          <cell r="C192" t="str">
            <v>Wr</v>
          </cell>
          <cell r="D192">
            <v>50</v>
          </cell>
          <cell r="E192">
            <v>75</v>
          </cell>
          <cell r="F192">
            <v>4</v>
          </cell>
          <cell r="I192">
            <v>45</v>
          </cell>
          <cell r="J192">
            <v>47</v>
          </cell>
          <cell r="K192">
            <v>47</v>
          </cell>
          <cell r="L192">
            <v>47</v>
          </cell>
        </row>
        <row r="193">
          <cell r="B193">
            <v>9103</v>
          </cell>
          <cell r="C193" t="str">
            <v>Dj</v>
          </cell>
          <cell r="D193">
            <v>60</v>
          </cell>
          <cell r="E193">
            <v>75</v>
          </cell>
          <cell r="F193">
            <v>4</v>
          </cell>
          <cell r="I193">
            <v>43</v>
          </cell>
          <cell r="J193">
            <v>45</v>
          </cell>
          <cell r="K193">
            <v>43</v>
          </cell>
          <cell r="L193">
            <v>47</v>
          </cell>
        </row>
        <row r="194">
          <cell r="B194">
            <v>9173</v>
          </cell>
          <cell r="C194" t="str">
            <v>Dj</v>
          </cell>
          <cell r="D194">
            <v>50</v>
          </cell>
          <cell r="E194">
            <v>75</v>
          </cell>
          <cell r="F194">
            <v>4</v>
          </cell>
          <cell r="I194">
            <v>43</v>
          </cell>
          <cell r="J194">
            <v>45</v>
          </cell>
          <cell r="K194">
            <v>43</v>
          </cell>
          <cell r="L194">
            <v>47</v>
          </cell>
        </row>
        <row r="195">
          <cell r="B195">
            <v>6441</v>
          </cell>
          <cell r="C195" t="str">
            <v>Fas</v>
          </cell>
          <cell r="D195">
            <v>31</v>
          </cell>
          <cell r="E195">
            <v>75</v>
          </cell>
          <cell r="F195">
            <v>4</v>
          </cell>
          <cell r="G195">
            <v>0</v>
          </cell>
          <cell r="I195">
            <v>24</v>
          </cell>
          <cell r="J195">
            <v>23</v>
          </cell>
          <cell r="K195">
            <v>46</v>
          </cell>
          <cell r="L195">
            <v>38</v>
          </cell>
        </row>
        <row r="196">
          <cell r="B196" t="str">
            <v>4569…</v>
          </cell>
          <cell r="C196" t="str">
            <v>Sg</v>
          </cell>
          <cell r="D196">
            <v>81</v>
          </cell>
          <cell r="E196">
            <v>75</v>
          </cell>
          <cell r="F196">
            <v>4</v>
          </cell>
          <cell r="I196">
            <v>22</v>
          </cell>
          <cell r="J196">
            <v>45</v>
          </cell>
          <cell r="K196">
            <v>51</v>
          </cell>
          <cell r="L196">
            <v>51</v>
          </cell>
        </row>
        <row r="197">
          <cell r="B197">
            <v>4073</v>
          </cell>
          <cell r="C197" t="str">
            <v>ACM</v>
          </cell>
          <cell r="D197">
            <v>61</v>
          </cell>
          <cell r="E197">
            <v>75</v>
          </cell>
          <cell r="F197">
            <v>4</v>
          </cell>
          <cell r="I197">
            <v>46</v>
          </cell>
          <cell r="J197">
            <v>47</v>
          </cell>
          <cell r="K197">
            <v>56</v>
          </cell>
          <cell r="L197">
            <v>56</v>
          </cell>
        </row>
        <row r="198">
          <cell r="B198">
            <v>7003</v>
          </cell>
          <cell r="C198" t="str">
            <v>Wla</v>
          </cell>
          <cell r="D198">
            <v>50</v>
          </cell>
          <cell r="E198">
            <v>75</v>
          </cell>
          <cell r="F198">
            <v>4</v>
          </cell>
          <cell r="I198">
            <v>47</v>
          </cell>
          <cell r="J198">
            <v>49</v>
          </cell>
          <cell r="K198">
            <v>49</v>
          </cell>
          <cell r="L198">
            <v>47</v>
          </cell>
        </row>
        <row r="199">
          <cell r="B199">
            <v>8773</v>
          </cell>
          <cell r="C199" t="str">
            <v>Wsp</v>
          </cell>
          <cell r="D199">
            <v>61</v>
          </cell>
          <cell r="E199">
            <v>75</v>
          </cell>
          <cell r="F199">
            <v>4</v>
          </cell>
          <cell r="I199">
            <v>47</v>
          </cell>
          <cell r="J199">
            <v>56</v>
          </cell>
          <cell r="K199">
            <v>56</v>
          </cell>
          <cell r="L199">
            <v>47</v>
          </cell>
        </row>
        <row r="200">
          <cell r="B200">
            <v>4541</v>
          </cell>
          <cell r="C200" t="str">
            <v>Sgs</v>
          </cell>
          <cell r="D200">
            <v>33</v>
          </cell>
          <cell r="E200">
            <v>75</v>
          </cell>
          <cell r="F200">
            <v>4</v>
          </cell>
          <cell r="I200">
            <v>17</v>
          </cell>
          <cell r="J200">
            <v>21</v>
          </cell>
          <cell r="K200">
            <v>45</v>
          </cell>
          <cell r="L200">
            <v>51</v>
          </cell>
        </row>
        <row r="201">
          <cell r="B201">
            <v>4508</v>
          </cell>
          <cell r="C201" t="str">
            <v>Sgs</v>
          </cell>
          <cell r="D201">
            <v>83</v>
          </cell>
          <cell r="E201">
            <v>75</v>
          </cell>
          <cell r="F201">
            <v>4</v>
          </cell>
          <cell r="I201">
            <v>17</v>
          </cell>
          <cell r="J201">
            <v>21</v>
          </cell>
          <cell r="K201">
            <v>45</v>
          </cell>
          <cell r="L201">
            <v>51</v>
          </cell>
        </row>
        <row r="202">
          <cell r="B202" t="str">
            <v>4508.</v>
          </cell>
          <cell r="C202" t="str">
            <v>Sgs</v>
          </cell>
          <cell r="D202">
            <v>33</v>
          </cell>
          <cell r="E202">
            <v>75</v>
          </cell>
          <cell r="F202">
            <v>4</v>
          </cell>
          <cell r="I202">
            <v>17</v>
          </cell>
          <cell r="J202">
            <v>21</v>
          </cell>
          <cell r="K202">
            <v>45</v>
          </cell>
          <cell r="L202">
            <v>51</v>
          </cell>
        </row>
        <row r="203">
          <cell r="B203" t="str">
            <v>4569..</v>
          </cell>
          <cell r="C203" t="str">
            <v>Sg</v>
          </cell>
          <cell r="D203">
            <v>33</v>
          </cell>
          <cell r="E203">
            <v>75</v>
          </cell>
          <cell r="F203">
            <v>4</v>
          </cell>
          <cell r="I203">
            <v>21</v>
          </cell>
          <cell r="J203">
            <v>25</v>
          </cell>
          <cell r="K203">
            <v>51</v>
          </cell>
          <cell r="L203">
            <v>51</v>
          </cell>
        </row>
        <row r="205">
          <cell r="B205" t="str">
            <v>4569.</v>
          </cell>
          <cell r="C205" t="str">
            <v>Sg</v>
          </cell>
          <cell r="D205">
            <v>83</v>
          </cell>
          <cell r="E205">
            <v>75</v>
          </cell>
          <cell r="F205">
            <v>4</v>
          </cell>
          <cell r="I205">
            <v>21</v>
          </cell>
          <cell r="J205">
            <v>25</v>
          </cell>
          <cell r="K205">
            <v>41</v>
          </cell>
          <cell r="L205">
            <v>54</v>
          </cell>
        </row>
        <row r="206">
          <cell r="B206">
            <v>7952</v>
          </cell>
          <cell r="C206" t="str">
            <v>Za</v>
          </cell>
          <cell r="D206">
            <v>31</v>
          </cell>
          <cell r="E206">
            <v>75</v>
          </cell>
          <cell r="F206">
            <v>4</v>
          </cell>
          <cell r="I206">
            <v>23</v>
          </cell>
          <cell r="J206">
            <v>25</v>
          </cell>
          <cell r="K206">
            <v>41</v>
          </cell>
          <cell r="L206">
            <v>44</v>
          </cell>
        </row>
        <row r="207">
          <cell r="B207">
            <v>4425</v>
          </cell>
          <cell r="C207" t="str">
            <v>Lg</v>
          </cell>
          <cell r="D207">
            <v>41</v>
          </cell>
          <cell r="E207">
            <v>75</v>
          </cell>
          <cell r="F207">
            <v>2</v>
          </cell>
          <cell r="I207">
            <v>11</v>
          </cell>
          <cell r="J207">
            <v>14</v>
          </cell>
          <cell r="K207">
            <v>21</v>
          </cell>
          <cell r="L207">
            <v>23</v>
          </cell>
        </row>
        <row r="208">
          <cell r="B208">
            <v>6641</v>
          </cell>
          <cell r="C208" t="str">
            <v>Fas</v>
          </cell>
          <cell r="D208">
            <v>81</v>
          </cell>
          <cell r="E208">
            <v>75</v>
          </cell>
          <cell r="F208">
            <v>4</v>
          </cell>
          <cell r="G208">
            <v>0</v>
          </cell>
          <cell r="I208">
            <v>24</v>
          </cell>
          <cell r="J208">
            <v>23</v>
          </cell>
          <cell r="K208">
            <v>46</v>
          </cell>
          <cell r="L208">
            <v>38</v>
          </cell>
        </row>
        <row r="209">
          <cell r="B209">
            <v>6642</v>
          </cell>
          <cell r="C209" t="str">
            <v>Fas</v>
          </cell>
          <cell r="D209">
            <v>81</v>
          </cell>
          <cell r="E209">
            <v>75</v>
          </cell>
          <cell r="F209">
            <v>4</v>
          </cell>
          <cell r="G209">
            <v>0</v>
          </cell>
          <cell r="I209">
            <v>24</v>
          </cell>
          <cell r="J209">
            <v>23</v>
          </cell>
          <cell r="K209">
            <v>46</v>
          </cell>
          <cell r="L209">
            <v>38</v>
          </cell>
        </row>
        <row r="210">
          <cell r="B210">
            <v>4505</v>
          </cell>
          <cell r="C210" t="str">
            <v>Sgs</v>
          </cell>
          <cell r="D210">
            <v>83</v>
          </cell>
          <cell r="E210">
            <v>75</v>
          </cell>
          <cell r="F210">
            <v>4</v>
          </cell>
          <cell r="I210">
            <v>19</v>
          </cell>
          <cell r="J210">
            <v>21</v>
          </cell>
          <cell r="K210">
            <v>45</v>
          </cell>
          <cell r="L210">
            <v>51</v>
          </cell>
        </row>
        <row r="211">
          <cell r="B211">
            <v>4547</v>
          </cell>
          <cell r="C211" t="str">
            <v>Sgs</v>
          </cell>
          <cell r="D211">
            <v>33</v>
          </cell>
          <cell r="E211">
            <v>75</v>
          </cell>
          <cell r="F211">
            <v>4</v>
          </cell>
          <cell r="I211">
            <v>20</v>
          </cell>
          <cell r="J211">
            <v>21</v>
          </cell>
          <cell r="K211">
            <v>45</v>
          </cell>
          <cell r="L211">
            <v>51</v>
          </cell>
        </row>
        <row r="212">
          <cell r="B212">
            <v>5377</v>
          </cell>
          <cell r="C212" t="str">
            <v>Ean</v>
          </cell>
          <cell r="D212">
            <v>31</v>
          </cell>
          <cell r="E212">
            <v>81</v>
          </cell>
          <cell r="F212">
            <v>4</v>
          </cell>
          <cell r="G212">
            <v>0</v>
          </cell>
          <cell r="I212">
            <v>26</v>
          </cell>
          <cell r="J212">
            <v>32</v>
          </cell>
          <cell r="K212">
            <v>56</v>
          </cell>
          <cell r="L212">
            <v>32</v>
          </cell>
        </row>
        <row r="213">
          <cell r="B213">
            <v>5380</v>
          </cell>
          <cell r="C213" t="str">
            <v>Ean</v>
          </cell>
          <cell r="D213">
            <v>31</v>
          </cell>
          <cell r="E213">
            <v>81</v>
          </cell>
          <cell r="F213">
            <v>4</v>
          </cell>
          <cell r="G213">
            <v>0</v>
          </cell>
          <cell r="I213">
            <v>26</v>
          </cell>
          <cell r="J213">
            <v>32</v>
          </cell>
          <cell r="K213">
            <v>56</v>
          </cell>
          <cell r="L213">
            <v>32</v>
          </cell>
        </row>
        <row r="214">
          <cell r="B214">
            <v>3816</v>
          </cell>
          <cell r="C214" t="str">
            <v>Rs</v>
          </cell>
          <cell r="D214">
            <v>31</v>
          </cell>
          <cell r="E214">
            <v>75</v>
          </cell>
          <cell r="F214">
            <v>4</v>
          </cell>
          <cell r="G214">
            <v>0</v>
          </cell>
          <cell r="I214">
            <v>21</v>
          </cell>
          <cell r="J214">
            <v>28</v>
          </cell>
          <cell r="K214">
            <v>51</v>
          </cell>
          <cell r="L214">
            <v>51</v>
          </cell>
        </row>
        <row r="215">
          <cell r="B215">
            <v>4543</v>
          </cell>
          <cell r="C215" t="str">
            <v>Sg</v>
          </cell>
          <cell r="D215">
            <v>31</v>
          </cell>
          <cell r="E215">
            <v>75</v>
          </cell>
          <cell r="F215">
            <v>4</v>
          </cell>
          <cell r="I215">
            <v>22</v>
          </cell>
          <cell r="J215">
            <v>45</v>
          </cell>
          <cell r="K215">
            <v>51</v>
          </cell>
          <cell r="L215">
            <v>51</v>
          </cell>
        </row>
        <row r="216">
          <cell r="B216">
            <v>3919</v>
          </cell>
          <cell r="C216" t="str">
            <v>Rs</v>
          </cell>
          <cell r="D216">
            <v>33</v>
          </cell>
          <cell r="E216">
            <v>75</v>
          </cell>
          <cell r="F216">
            <v>4</v>
          </cell>
          <cell r="I216">
            <v>22</v>
          </cell>
          <cell r="J216">
            <v>28</v>
          </cell>
          <cell r="K216">
            <v>53</v>
          </cell>
          <cell r="L216">
            <v>44</v>
          </cell>
        </row>
        <row r="217">
          <cell r="B217">
            <v>4545</v>
          </cell>
          <cell r="C217" t="str">
            <v>Sgs</v>
          </cell>
          <cell r="D217">
            <v>33</v>
          </cell>
          <cell r="E217">
            <v>75</v>
          </cell>
          <cell r="F217">
            <v>4</v>
          </cell>
          <cell r="I217">
            <v>20</v>
          </cell>
          <cell r="J217">
            <v>21</v>
          </cell>
          <cell r="K217">
            <v>45</v>
          </cell>
          <cell r="L217">
            <v>51</v>
          </cell>
        </row>
        <row r="218">
          <cell r="B218">
            <v>3547</v>
          </cell>
          <cell r="C218" t="str">
            <v>Rıll</v>
          </cell>
          <cell r="D218">
            <v>31</v>
          </cell>
          <cell r="E218">
            <v>75</v>
          </cell>
          <cell r="F218">
            <v>4</v>
          </cell>
          <cell r="I218">
            <v>27</v>
          </cell>
          <cell r="J218">
            <v>23</v>
          </cell>
          <cell r="K218">
            <v>46</v>
          </cell>
          <cell r="L218">
            <v>46</v>
          </cell>
        </row>
        <row r="220">
          <cell r="B220" t="str">
            <v>4462.</v>
          </cell>
          <cell r="C220" t="str">
            <v>La</v>
          </cell>
          <cell r="D220">
            <v>43</v>
          </cell>
          <cell r="E220">
            <v>75</v>
          </cell>
          <cell r="F220">
            <v>4</v>
          </cell>
          <cell r="I220">
            <v>20</v>
          </cell>
          <cell r="J220">
            <v>23</v>
          </cell>
          <cell r="K220">
            <v>50</v>
          </cell>
          <cell r="L220">
            <v>42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76"/>
  <sheetViews>
    <sheetView topLeftCell="B1" zoomScale="90" zoomScaleNormal="90" workbookViewId="0">
      <selection activeCell="G18" sqref="G18"/>
    </sheetView>
  </sheetViews>
  <sheetFormatPr baseColWidth="8" defaultColWidth="9.140625" defaultRowHeight="12.75"/>
  <cols>
    <col width="9.140625" customWidth="1" style="50" min="1" max="1"/>
    <col width="0.42578125" customWidth="1" style="49" min="2" max="2"/>
    <col width="4.28515625" customWidth="1" style="50" min="3" max="3"/>
    <col width="5" customWidth="1" style="50" min="4" max="4"/>
    <col width="9.28515625" customWidth="1" style="50" min="5" max="5"/>
    <col width="11" customWidth="1" style="50" min="6" max="6"/>
    <col width="10" customWidth="1" style="50" min="7" max="8"/>
    <col width="24.28515625" customWidth="1" style="50" min="9" max="9"/>
    <col width="7.85546875" customWidth="1" style="50" min="10" max="11"/>
    <col width="11.42578125" customWidth="1" style="50" min="12" max="13"/>
    <col width="9.28515625" customWidth="1" style="50" min="14" max="15"/>
    <col width="8.5703125" customWidth="1" style="50" min="16" max="16"/>
    <col width="5" customWidth="1" style="50" min="17" max="17"/>
    <col width="19.28515625" customWidth="1" style="50" min="18" max="18"/>
    <col width="0.42578125" customWidth="1" style="49" min="19" max="19"/>
    <col width="9.140625" customWidth="1" style="50" min="20" max="16384"/>
  </cols>
  <sheetData>
    <row r="1" ht="18.75" customHeight="1"/>
    <row r="2" ht="3" customHeight="1">
      <c r="B2" s="25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25" t="n"/>
    </row>
    <row r="3" ht="22.5" customHeight="1">
      <c r="B3" s="25" t="n"/>
      <c r="C3" s="131" t="inlineStr">
        <is>
          <t>T R E N   H A R E K E T   B İ L D İ R İ M   F O R M U</t>
        </is>
      </c>
      <c r="S3" s="25" t="n"/>
    </row>
    <row r="4" ht="3" customFormat="1" customHeight="1" s="49"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56" t="n"/>
      <c r="M4" s="56" t="n"/>
      <c r="N4" s="56" t="n"/>
      <c r="O4" s="56" t="n"/>
      <c r="P4" s="56" t="n"/>
      <c r="Q4" s="25" t="n"/>
      <c r="R4" s="25" t="n"/>
      <c r="S4" s="25" t="n"/>
    </row>
    <row r="5" ht="15" customHeight="1">
      <c r="B5" s="25" t="n"/>
      <c r="C5" s="132" t="inlineStr">
        <is>
          <t>KKY Sipariş No</t>
        </is>
      </c>
      <c r="G5" s="104" t="inlineStr">
        <is>
          <t>Sefer Belge No</t>
        </is>
      </c>
      <c r="H5" s="104" t="n"/>
      <c r="I5" s="148" t="n">
        <v>23215</v>
      </c>
      <c r="J5" s="133" t="inlineStr">
        <is>
          <t>no.lu trenin</t>
        </is>
      </c>
      <c r="L5" s="56" t="n"/>
      <c r="M5" s="56" t="n"/>
      <c r="N5" s="56" t="n"/>
      <c r="O5" s="56" t="n"/>
      <c r="P5" s="56" t="n"/>
      <c r="Q5" s="135" t="inlineStr">
        <is>
          <t>tarih</t>
        </is>
      </c>
      <c r="S5" s="25" t="n"/>
    </row>
    <row r="6" ht="22.5" customHeight="1">
      <c r="B6" s="25" t="n"/>
      <c r="C6" s="134" t="n"/>
      <c r="D6" s="153" t="n"/>
      <c r="E6" s="153" t="n"/>
      <c r="F6" s="153" t="n"/>
      <c r="G6" s="147" t="n"/>
      <c r="I6" s="153" t="n"/>
      <c r="L6" s="56" t="n"/>
      <c r="M6" s="56" t="n"/>
      <c r="N6" s="56" t="n"/>
      <c r="O6" s="56" t="n"/>
      <c r="P6" s="56" t="n"/>
      <c r="Q6" s="154">
        <f>TODAY()</f>
        <v/>
      </c>
      <c r="R6" s="153" t="n"/>
      <c r="S6" s="25" t="n"/>
    </row>
    <row r="7" ht="3" customHeight="1">
      <c r="B7" s="25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25" t="n"/>
    </row>
    <row r="8" ht="15" customFormat="1" customHeight="1" s="78">
      <c r="B8" s="74" t="n"/>
      <c r="C8" s="119" t="inlineStr">
        <is>
          <t>çıkış</t>
        </is>
      </c>
      <c r="D8" s="155" t="n"/>
      <c r="E8" s="155" t="n"/>
      <c r="F8" s="155" t="n"/>
      <c r="G8" s="155" t="n"/>
      <c r="H8" s="156" t="n"/>
      <c r="I8" s="119" t="inlineStr">
        <is>
          <t>varış</t>
        </is>
      </c>
      <c r="J8" s="155" t="n"/>
      <c r="K8" s="156" t="n"/>
      <c r="L8" s="119" t="inlineStr">
        <is>
          <t>saati</t>
        </is>
      </c>
      <c r="M8" s="155" t="n"/>
      <c r="N8" s="156" t="n"/>
      <c r="O8" s="75" t="n"/>
      <c r="P8" s="76" t="n"/>
      <c r="Q8" s="77" t="n"/>
      <c r="R8" s="64" t="inlineStr">
        <is>
          <t>uzunluk (mt)</t>
        </is>
      </c>
      <c r="S8" s="74" t="n"/>
    </row>
    <row r="9" ht="15" customFormat="1" customHeight="1" s="78">
      <c r="B9" s="74" t="n"/>
      <c r="C9" s="119" t="inlineStr">
        <is>
          <t>istasyonu</t>
        </is>
      </c>
      <c r="D9" s="155" t="n"/>
      <c r="E9" s="155" t="n"/>
      <c r="F9" s="156" t="n"/>
      <c r="G9" s="119" t="inlineStr">
        <is>
          <t>kodu</t>
        </is>
      </c>
      <c r="H9" s="156" t="n"/>
      <c r="I9" s="119" t="inlineStr">
        <is>
          <t>istasyonu</t>
        </is>
      </c>
      <c r="J9" s="119" t="inlineStr">
        <is>
          <t>kodu</t>
        </is>
      </c>
      <c r="K9" s="156" t="n"/>
      <c r="L9" s="119" t="inlineStr">
        <is>
          <t>orer</t>
        </is>
      </c>
      <c r="M9" s="119" t="inlineStr">
        <is>
          <t>teslim</t>
        </is>
      </c>
      <c r="N9" s="119" t="inlineStr">
        <is>
          <t>sevk</t>
        </is>
      </c>
      <c r="O9" s="157" t="inlineStr">
        <is>
          <t>fren
yüzdesi</t>
        </is>
      </c>
      <c r="P9" s="119" t="inlineStr">
        <is>
          <t>gerekli
fren</t>
        </is>
      </c>
      <c r="Q9" s="158" t="n"/>
      <c r="R9" s="137">
        <f>IF(sf.V!R2&gt;0,sf.V!R2,"")</f>
        <v/>
      </c>
      <c r="S9" s="74" t="n"/>
    </row>
    <row r="10" ht="22.5" customHeight="1">
      <c r="B10" s="25" t="n"/>
      <c r="C10" s="145" t="inlineStr">
        <is>
          <t>ARİFİYE</t>
        </is>
      </c>
      <c r="D10" s="155" t="n"/>
      <c r="E10" s="155" t="n"/>
      <c r="F10" s="156" t="n"/>
      <c r="G10" s="146" t="n">
        <v>1512</v>
      </c>
      <c r="H10" s="156" t="n"/>
      <c r="I10" s="145" t="n"/>
      <c r="J10" s="146" t="n"/>
      <c r="K10" s="156" t="n"/>
      <c r="L10" s="28" t="n"/>
      <c r="M10" s="28" t="n"/>
      <c r="N10" s="28" t="n"/>
      <c r="O10" s="159" t="n"/>
      <c r="P10" s="160" t="n"/>
      <c r="Q10" s="161" t="n"/>
      <c r="R10" s="162" t="n"/>
      <c r="S10" s="25" t="n"/>
    </row>
    <row r="11" ht="15" customFormat="1" customHeight="1" s="78">
      <c r="B11" s="74" t="n"/>
      <c r="C11" s="119" t="inlineStr">
        <is>
          <t>LOKO BİLGİLERİ</t>
        </is>
      </c>
      <c r="D11" s="155" t="n"/>
      <c r="E11" s="155" t="n"/>
      <c r="F11" s="155" t="n"/>
      <c r="G11" s="155" t="n"/>
      <c r="H11" s="155" t="n"/>
      <c r="I11" s="156" t="n"/>
      <c r="J11" s="29" t="n"/>
      <c r="K11" s="30" t="n"/>
      <c r="L11" s="119" t="inlineStr">
        <is>
          <t>AĞIRLIK BİLGİLERİ</t>
        </is>
      </c>
      <c r="M11" s="155" t="n"/>
      <c r="N11" s="156" t="n"/>
      <c r="O11" s="163" t="n">
        <v>41</v>
      </c>
      <c r="P11" s="164">
        <f>IF(L13&lt;&gt;"",ROUNDUP((L13*O11)/100,0),"")</f>
        <v/>
      </c>
      <c r="Q11" s="158" t="n"/>
      <c r="R11" s="119" t="inlineStr">
        <is>
          <t>dingil adedi</t>
        </is>
      </c>
      <c r="S11" s="74" t="n"/>
    </row>
    <row r="12" ht="15" customFormat="1" customHeight="1" s="78">
      <c r="B12" s="74" t="n"/>
      <c r="C12" s="119" t="inlineStr">
        <is>
          <t>esas</t>
        </is>
      </c>
      <c r="D12" s="155" t="n"/>
      <c r="E12" s="156" t="n"/>
      <c r="F12" s="119" t="inlineStr">
        <is>
          <t>ön destek</t>
        </is>
      </c>
      <c r="G12" s="155" t="n"/>
      <c r="H12" s="156" t="n"/>
      <c r="I12" s="119" t="inlineStr">
        <is>
          <t>arka destek</t>
        </is>
      </c>
      <c r="J12" s="31" t="n"/>
      <c r="K12" s="32" t="n"/>
      <c r="L12" s="119" t="inlineStr">
        <is>
          <t>brüt</t>
        </is>
      </c>
      <c r="M12" s="119" t="inlineStr">
        <is>
          <t>net</t>
        </is>
      </c>
      <c r="N12" s="67" t="inlineStr">
        <is>
          <t>fren ağr.</t>
        </is>
      </c>
      <c r="O12" s="159" t="n"/>
      <c r="P12" s="160" t="n"/>
      <c r="Q12" s="161" t="n"/>
      <c r="R12" s="164">
        <f>SUM(D16:D64)</f>
        <v/>
      </c>
      <c r="S12" s="74" t="n"/>
    </row>
    <row r="13" ht="22.5" customHeight="1">
      <c r="B13" s="25" t="n"/>
      <c r="C13" s="120" t="n"/>
      <c r="D13" s="165" t="n"/>
      <c r="E13" s="166" t="n"/>
      <c r="F13" s="120" t="n"/>
      <c r="G13" s="165" t="n"/>
      <c r="H13" s="166" t="n"/>
      <c r="I13" s="62" t="n"/>
      <c r="J13" s="33" t="n"/>
      <c r="K13" s="34" t="n"/>
      <c r="L13" s="80">
        <f>SUM(O16:O64)</f>
        <v/>
      </c>
      <c r="M13" s="80">
        <f>SUM(N16:N64)</f>
        <v/>
      </c>
      <c r="N13" s="96">
        <f>SUM(P16:P64)</f>
        <v/>
      </c>
      <c r="O13" s="57" t="n"/>
      <c r="P13" s="58" t="n"/>
      <c r="Q13" s="59" t="n"/>
      <c r="R13" s="159" t="n"/>
      <c r="S13" s="25" t="n"/>
    </row>
    <row r="14" ht="15" customHeight="1">
      <c r="B14" s="25" t="n"/>
      <c r="C14" s="167" t="inlineStr">
        <is>
          <t>DİZİDEKİ VAGONLARIN</t>
        </is>
      </c>
      <c r="D14" s="155" t="n"/>
      <c r="E14" s="155" t="n"/>
      <c r="F14" s="155" t="n"/>
      <c r="G14" s="155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6" t="n"/>
      <c r="S14" s="25" t="n"/>
    </row>
    <row r="15" ht="41.25" customHeight="1">
      <c r="B15" s="25" t="n"/>
      <c r="C15" s="68" t="inlineStr">
        <is>
          <t>sıra no.</t>
        </is>
      </c>
      <c r="D15" s="69" t="inlineStr">
        <is>
          <t>dingili</t>
        </is>
      </c>
      <c r="E15" s="68" t="inlineStr">
        <is>
          <t>tipi</t>
        </is>
      </c>
      <c r="F15" s="69" t="inlineStr">
        <is>
          <t>dğş rejimi shp.idare</t>
        </is>
      </c>
      <c r="G15" s="119" t="inlineStr">
        <is>
          <t>vagon
no</t>
        </is>
      </c>
      <c r="H15" s="156" t="n"/>
      <c r="I15" s="119" t="inlineStr">
        <is>
          <t>yükün
cinsi</t>
        </is>
      </c>
      <c r="J15" s="119" t="inlineStr">
        <is>
          <t>çıkış
istasyonu</t>
        </is>
      </c>
      <c r="K15" s="156" t="n"/>
      <c r="L15" s="119" t="inlineStr">
        <is>
          <t>varış
istasyonu</t>
        </is>
      </c>
      <c r="M15" s="156" t="n"/>
      <c r="N15" s="119" t="inlineStr">
        <is>
          <t>net
ağırlık</t>
        </is>
      </c>
      <c r="O15" s="119" t="inlineStr">
        <is>
          <t>brüt
ağırlık</t>
        </is>
      </c>
      <c r="P15" s="68" t="inlineStr">
        <is>
          <t>hava
fren</t>
        </is>
      </c>
      <c r="Q15" s="68" t="inlineStr">
        <is>
          <t>sıra no.</t>
        </is>
      </c>
      <c r="R15" s="119" t="inlineStr">
        <is>
          <t>bırakıldığı
istasyon</t>
        </is>
      </c>
      <c r="S15" s="25" t="n"/>
      <c r="T15" s="51" t="n"/>
      <c r="U15" s="51" t="n"/>
    </row>
    <row r="16" ht="18" customHeight="1">
      <c r="B16" s="25" t="n"/>
      <c r="C16" s="81" t="n">
        <v>1</v>
      </c>
      <c r="D16" s="86">
        <f>IF(G16&lt;&gt;"",VLOOKUP(G16,sf.V!$A$3:$K$124,3,FALSE),"")</f>
        <v/>
      </c>
      <c r="E16" s="82">
        <f>IF(G16&lt;&gt;"",VLOOKUP(G16,sf.V!$A$3:$K$124,2,FALSE),"")</f>
        <v/>
      </c>
      <c r="F16" s="173" t="n">
        <v>3175</v>
      </c>
      <c r="G16" s="174" t="n">
        <v>4569</v>
      </c>
      <c r="H16" s="174" t="inlineStr">
        <is>
          <t>183-2</t>
        </is>
      </c>
      <c r="I16" s="118" t="n"/>
      <c r="J16" s="118" t="inlineStr">
        <is>
          <t>ARİFİYE</t>
        </is>
      </c>
      <c r="K16" s="168" t="n"/>
      <c r="L16" s="118" t="inlineStr">
        <is>
          <t>KÖRFEZ</t>
        </is>
      </c>
      <c r="M16" s="168" t="n"/>
      <c r="N16" s="83" t="n"/>
      <c r="O16" s="84">
        <f>IF(G16&lt;&gt;"",VLOOKUP(G16,sf.V!$A$3:$K$124,6,FALSE)+N16,"")</f>
        <v/>
      </c>
      <c r="P16" s="85">
        <f>IF(G16="","",IF(O16&lt;T16,VLOOKUP(G16,sf.V!$A$3:$K$124,9,FALSE),IF(O16&gt;=T16,VLOOKUP(G16,sf.V!$A$3:$K$124,10,FALSE),"")))</f>
        <v/>
      </c>
      <c r="Q16" s="35" t="n"/>
      <c r="R16" s="52" t="n"/>
      <c r="S16" s="25" t="n"/>
      <c r="T16" s="55">
        <f>IF(G16&lt;&gt;"",VLOOKUP(G16,sf.V!$A$3:$K$124,11,FALSE),"")</f>
        <v/>
      </c>
      <c r="U16" s="51" t="n"/>
    </row>
    <row r="17" ht="18" customHeight="1">
      <c r="B17" s="25" t="n"/>
      <c r="C17" s="63" t="n">
        <v>2</v>
      </c>
      <c r="D17" s="86">
        <f>IF(G17&lt;&gt;"",VLOOKUP(G17,sf.V!$A$3:$K$124,3,FALSE),"")</f>
        <v/>
      </c>
      <c r="E17" s="82">
        <f>IF(G17&lt;&gt;"",VLOOKUP(G17,sf.V!$A$3:$K$124,2,FALSE),"")</f>
        <v/>
      </c>
      <c r="F17" s="173" t="n">
        <v>3175</v>
      </c>
      <c r="G17" s="174" t="n">
        <v>4569</v>
      </c>
      <c r="H17" s="174" t="inlineStr">
        <is>
          <t>781-2</t>
        </is>
      </c>
      <c r="I17" s="118" t="n"/>
      <c r="J17" s="118" t="inlineStr">
        <is>
          <t>ARİFİYE</t>
        </is>
      </c>
      <c r="K17" s="168" t="n"/>
      <c r="L17" s="118" t="inlineStr">
        <is>
          <t>KÖRFEZ</t>
        </is>
      </c>
      <c r="M17" s="168" t="n"/>
      <c r="N17" s="83" t="n"/>
      <c r="O17" s="87">
        <f>IF(G17&lt;&gt;"",VLOOKUP(G17,sf.V!$A$3:$K$124,6,FALSE)+N17,"")</f>
        <v/>
      </c>
      <c r="P17" s="88">
        <f>IF(G17="","",IF(O17&lt;T17,VLOOKUP(G17,sf.V!$A$3:$K$124,9,FALSE),IF(O17&gt;=T17,VLOOKUP(G17,sf.V!$A$3:$K$124,10,FALSE),"")))</f>
        <v/>
      </c>
      <c r="Q17" s="36" t="n"/>
      <c r="R17" s="53" t="n"/>
      <c r="S17" s="25" t="n"/>
      <c r="T17" s="55">
        <f>IF(G17&lt;&gt;"",VLOOKUP(G17,sf.V!$A$3:$K$124,11,FALSE),"")</f>
        <v/>
      </c>
      <c r="U17" s="51" t="n"/>
    </row>
    <row r="18" ht="18" customHeight="1">
      <c r="B18" s="25" t="n"/>
      <c r="C18" s="81" t="n">
        <v>3</v>
      </c>
      <c r="D18" s="86">
        <f>IF(G18&lt;&gt;"",VLOOKUP(G18,sf.V!$A$3:$K$124,3,FALSE),"")</f>
        <v/>
      </c>
      <c r="E18" s="82">
        <f>IF(G18&lt;&gt;"",VLOOKUP(G18,sf.V!$A$3:$K$124,2,FALSE),"")</f>
        <v/>
      </c>
      <c r="F18" s="173" t="n">
        <v>3175</v>
      </c>
      <c r="G18" s="174" t="n">
        <v>4594</v>
      </c>
      <c r="H18" s="174" t="inlineStr">
        <is>
          <t>065-0</t>
        </is>
      </c>
      <c r="I18" s="118" t="n"/>
      <c r="J18" s="118" t="inlineStr">
        <is>
          <t>ARİFİYE</t>
        </is>
      </c>
      <c r="K18" s="168" t="n"/>
      <c r="L18" s="118" t="inlineStr">
        <is>
          <t>KÖRFEZ</t>
        </is>
      </c>
      <c r="M18" s="168" t="n"/>
      <c r="N18" s="83" t="n"/>
      <c r="O18" s="87">
        <f>IF(G18&lt;&gt;"",VLOOKUP(G18,sf.V!$A$3:$K$124,6,FALSE)+N18,"")</f>
        <v/>
      </c>
      <c r="P18" s="88">
        <f>IF(G18="","",IF(O18&lt;T18,VLOOKUP(G18,sf.V!$A$3:$K$124,9,FALSE),IF(O18&gt;=T18,VLOOKUP(G18,sf.V!$A$3:$K$124,10,FALSE),"")))</f>
        <v/>
      </c>
      <c r="Q18" s="36" t="n"/>
      <c r="R18" s="53" t="n"/>
      <c r="S18" s="25" t="n"/>
      <c r="T18" s="55">
        <f>IF(G18&lt;&gt;"",VLOOKUP(G18,sf.V!$A$3:$K$124,11,FALSE),"")</f>
        <v/>
      </c>
      <c r="U18" s="51" t="n"/>
    </row>
    <row r="19" ht="18" customHeight="1">
      <c r="B19" s="25" t="n"/>
      <c r="C19" s="63" t="n">
        <v>4</v>
      </c>
      <c r="D19" s="86">
        <f>IF(G19&lt;&gt;"",VLOOKUP(G19,sf.V!$A$3:$K$124,3,FALSE),"")</f>
        <v/>
      </c>
      <c r="E19" s="82">
        <f>IF(G19&lt;&gt;"",VLOOKUP(G19,sf.V!$A$3:$K$124,2,FALSE),"")</f>
        <v/>
      </c>
      <c r="F19" s="175" t="n"/>
      <c r="G19" s="176" t="n"/>
      <c r="H19" s="177" t="n"/>
      <c r="I19" s="118" t="n"/>
      <c r="J19" s="117" t="n"/>
      <c r="K19" s="169" t="n"/>
      <c r="L19" s="118" t="n"/>
      <c r="M19" s="168" t="n"/>
      <c r="N19" s="83" t="n"/>
      <c r="O19" s="87">
        <f>IF(G19&lt;&gt;"",VLOOKUP(G19,sf.V!$A$3:$K$124,6,FALSE)+N19,"")</f>
        <v/>
      </c>
      <c r="P19" s="88">
        <f>IF(G19="","",IF(O19&lt;T19,VLOOKUP(G19,sf.V!$A$3:$K$124,9,FALSE),IF(O19&gt;=T19,VLOOKUP(G19,sf.V!$A$3:$K$124,10,FALSE),"")))</f>
        <v/>
      </c>
      <c r="Q19" s="36" t="n"/>
      <c r="R19" s="53" t="n"/>
      <c r="S19" s="25" t="n"/>
      <c r="T19" s="55">
        <f>IF(G19&lt;&gt;"",VLOOKUP(G19,sf.V!$A$3:$K$124,11,FALSE),"")</f>
        <v/>
      </c>
      <c r="U19" s="51" t="n"/>
    </row>
    <row r="20" ht="18" customHeight="1">
      <c r="B20" s="25" t="n"/>
      <c r="C20" s="81" t="n">
        <v>5</v>
      </c>
      <c r="D20" s="86">
        <f>IF(G20&lt;&gt;"",VLOOKUP(G20,sf.V!$A$3:$K$124,3,FALSE),"")</f>
        <v/>
      </c>
      <c r="E20" s="82">
        <f>IF(G20&lt;&gt;"",VLOOKUP(G20,sf.V!$A$3:$K$124,2,FALSE),"")</f>
        <v/>
      </c>
      <c r="F20" s="175" t="n"/>
      <c r="G20" s="176" t="n"/>
      <c r="H20" s="177" t="n"/>
      <c r="I20" s="118" t="n"/>
      <c r="J20" s="117" t="n"/>
      <c r="K20" s="169" t="n"/>
      <c r="L20" s="118" t="n"/>
      <c r="M20" s="168" t="n"/>
      <c r="N20" s="83" t="n"/>
      <c r="O20" s="87">
        <f>IF(G20&lt;&gt;"",VLOOKUP(G20,sf.V!$A$3:$K$124,6,FALSE)+N20,"")</f>
        <v/>
      </c>
      <c r="P20" s="88">
        <f>IF(G20="","",IF(O20&lt;T20,VLOOKUP(G20,sf.V!$A$3:$K$124,9,FALSE),IF(O20&gt;=T20,VLOOKUP(G20,sf.V!$A$3:$K$124,10,FALSE),"")))</f>
        <v/>
      </c>
      <c r="Q20" s="36" t="n"/>
      <c r="R20" s="53" t="n"/>
      <c r="S20" s="25" t="n"/>
      <c r="T20" s="55">
        <f>IF(G20&lt;&gt;"",VLOOKUP(G20,sf.V!$A$3:$K$124,11,FALSE),"")</f>
        <v/>
      </c>
      <c r="U20" s="51" t="n"/>
    </row>
    <row r="21" ht="18" customHeight="1">
      <c r="B21" s="25" t="n"/>
      <c r="C21" s="63" t="n">
        <v>6</v>
      </c>
      <c r="D21" s="86">
        <f>IF(G21&lt;&gt;"",VLOOKUP(G21,sf.V!$A$3:$K$124,3,FALSE),"")</f>
        <v/>
      </c>
      <c r="E21" s="82">
        <f>IF(G21&lt;&gt;"",VLOOKUP(G21,sf.V!$A$3:$K$124,2,FALSE),"")</f>
        <v/>
      </c>
      <c r="F21" s="175" t="n"/>
      <c r="G21" s="176" t="n"/>
      <c r="H21" s="177" t="n"/>
      <c r="I21" s="118" t="n"/>
      <c r="J21" s="117" t="n"/>
      <c r="K21" s="169" t="n"/>
      <c r="L21" s="118" t="n"/>
      <c r="M21" s="168" t="n"/>
      <c r="N21" s="83" t="n"/>
      <c r="O21" s="87">
        <f>IF(G21&lt;&gt;"",VLOOKUP(G21,sf.V!$A$3:$K$124,6,FALSE)+N21,"")</f>
        <v/>
      </c>
      <c r="P21" s="88">
        <f>IF(G21="","",IF(O21&lt;T21,VLOOKUP(G21,sf.V!$A$3:$K$124,9,FALSE),IF(O21&gt;=T21,VLOOKUP(G21,sf.V!$A$3:$K$124,10,FALSE),"")))</f>
        <v/>
      </c>
      <c r="Q21" s="36" t="n"/>
      <c r="R21" s="53" t="n"/>
      <c r="S21" s="25" t="n"/>
      <c r="T21" s="55">
        <f>IF(G21&lt;&gt;"",VLOOKUP(G21,sf.V!$A$3:$K$124,11,FALSE),"")</f>
        <v/>
      </c>
      <c r="U21" s="51" t="n"/>
    </row>
    <row r="22" ht="18" customHeight="1">
      <c r="B22" s="25" t="n"/>
      <c r="C22" s="81" t="n">
        <v>7</v>
      </c>
      <c r="D22" s="86">
        <f>IF(G22&lt;&gt;"",VLOOKUP(G22,sf.V!$A$3:$K$124,3,FALSE),"")</f>
        <v/>
      </c>
      <c r="E22" s="82">
        <f>IF(G22&lt;&gt;"",VLOOKUP(G22,sf.V!$A$3:$K$124,2,FALSE),"")</f>
        <v/>
      </c>
      <c r="F22" s="175" t="n"/>
      <c r="G22" s="176" t="n"/>
      <c r="H22" s="177" t="n"/>
      <c r="I22" s="118" t="n"/>
      <c r="J22" s="117" t="n"/>
      <c r="K22" s="169" t="n"/>
      <c r="L22" s="118" t="n"/>
      <c r="M22" s="168" t="n"/>
      <c r="N22" s="83" t="n"/>
      <c r="O22" s="87">
        <f>IF(G22&lt;&gt;"",VLOOKUP(G22,sf.V!$A$3:$K$124,6,FALSE)+N22,"")</f>
        <v/>
      </c>
      <c r="P22" s="88">
        <f>IF(G22="","",IF(O22&lt;T22,VLOOKUP(G22,sf.V!$A$3:$K$124,9,FALSE),IF(O22&gt;=T22,VLOOKUP(G22,sf.V!$A$3:$K$124,10,FALSE),"")))</f>
        <v/>
      </c>
      <c r="Q22" s="36" t="n"/>
      <c r="R22" s="53" t="n"/>
      <c r="S22" s="25" t="n"/>
      <c r="T22" s="55">
        <f>IF(G22&lt;&gt;"",VLOOKUP(G22,sf.V!$A$3:$K$124,11,FALSE),"")</f>
        <v/>
      </c>
      <c r="U22" s="51" t="n"/>
    </row>
    <row r="23" ht="18" customHeight="1">
      <c r="B23" s="25" t="n"/>
      <c r="C23" s="63" t="n">
        <v>8</v>
      </c>
      <c r="D23" s="86">
        <f>IF(G23&lt;&gt;"",VLOOKUP(G23,sf.V!$A$3:$K$124,3,FALSE),"")</f>
        <v/>
      </c>
      <c r="E23" s="82">
        <f>IF(G23&lt;&gt;"",VLOOKUP(G23,sf.V!$A$3:$K$124,2,FALSE),"")</f>
        <v/>
      </c>
      <c r="F23" s="175" t="n"/>
      <c r="G23" s="176" t="n"/>
      <c r="H23" s="177" t="n"/>
      <c r="I23" s="118" t="n"/>
      <c r="J23" s="117" t="n"/>
      <c r="K23" s="169" t="n"/>
      <c r="L23" s="118" t="n"/>
      <c r="M23" s="168" t="n"/>
      <c r="N23" s="83" t="n"/>
      <c r="O23" s="87">
        <f>IF(G23&lt;&gt;"",VLOOKUP(G23,sf.V!$A$3:$K$124,6,FALSE)+N23,"")</f>
        <v/>
      </c>
      <c r="P23" s="88">
        <f>IF(G23="","",IF(O23&lt;T23,VLOOKUP(G23,sf.V!$A$3:$K$124,9,FALSE),IF(O23&gt;=T23,VLOOKUP(G23,sf.V!$A$3:$K$124,10,FALSE),"")))</f>
        <v/>
      </c>
      <c r="Q23" s="36" t="n"/>
      <c r="R23" s="53" t="n"/>
      <c r="S23" s="25" t="n"/>
      <c r="T23" s="55">
        <f>IF(G23&lt;&gt;"",VLOOKUP(G23,sf.V!$A$3:$K$124,11,FALSE),"")</f>
        <v/>
      </c>
      <c r="U23" s="51" t="n"/>
    </row>
    <row r="24" ht="18" customHeight="1">
      <c r="B24" s="25" t="n"/>
      <c r="C24" s="81" t="n">
        <v>9</v>
      </c>
      <c r="D24" s="86">
        <f>IF(G24&lt;&gt;"",VLOOKUP(G24,sf.V!$A$3:$K$124,3,FALSE),"")</f>
        <v/>
      </c>
      <c r="E24" s="82">
        <f>IF(G24&lt;&gt;"",VLOOKUP(G24,sf.V!$A$3:$K$124,2,FALSE),"")</f>
        <v/>
      </c>
      <c r="F24" s="175" t="n"/>
      <c r="G24" s="176" t="n"/>
      <c r="H24" s="177" t="n"/>
      <c r="I24" s="118" t="n"/>
      <c r="J24" s="117" t="n"/>
      <c r="K24" s="169" t="n"/>
      <c r="L24" s="118" t="n"/>
      <c r="M24" s="168" t="n"/>
      <c r="N24" s="83" t="n"/>
      <c r="O24" s="87">
        <f>IF(G24&lt;&gt;"",VLOOKUP(G24,sf.V!$A$3:$K$124,6,FALSE)+N24,"")</f>
        <v/>
      </c>
      <c r="P24" s="88">
        <f>IF(G24="","",IF(O24&lt;T24,VLOOKUP(G24,sf.V!$A$3:$K$124,9,FALSE),IF(O24&gt;=T24,VLOOKUP(G24,sf.V!$A$3:$K$124,10,FALSE),"")))</f>
        <v/>
      </c>
      <c r="Q24" s="36" t="n"/>
      <c r="R24" s="53" t="n"/>
      <c r="S24" s="25" t="n"/>
      <c r="T24" s="55">
        <f>IF(G24&lt;&gt;"",VLOOKUP(G24,sf.V!$A$3:$K$124,11,FALSE),"")</f>
        <v/>
      </c>
      <c r="U24" s="51" t="n"/>
    </row>
    <row r="25" ht="18" customHeight="1">
      <c r="B25" s="25" t="n"/>
      <c r="C25" s="63" t="n">
        <v>10</v>
      </c>
      <c r="D25" s="86">
        <f>IF(G25&lt;&gt;"",VLOOKUP(G25,sf.V!$A$3:$K$124,3,FALSE),"")</f>
        <v/>
      </c>
      <c r="E25" s="82">
        <f>IF(G25&lt;&gt;"",VLOOKUP(G25,sf.V!$A$3:$K$124,2,FALSE),"")</f>
        <v/>
      </c>
      <c r="F25" s="175" t="n"/>
      <c r="G25" s="176" t="n"/>
      <c r="H25" s="177" t="n"/>
      <c r="I25" s="118" t="n"/>
      <c r="J25" s="117" t="n"/>
      <c r="K25" s="169" t="n"/>
      <c r="L25" s="118" t="n"/>
      <c r="M25" s="168" t="n"/>
      <c r="N25" s="83" t="n"/>
      <c r="O25" s="87">
        <f>IF(G25&lt;&gt;"",VLOOKUP(G25,sf.V!$A$3:$K$124,6,FALSE)+N25,"")</f>
        <v/>
      </c>
      <c r="P25" s="88">
        <f>IF(G25="","",IF(O25&lt;T25,VLOOKUP(G25,sf.V!$A$3:$K$124,9,FALSE),IF(O25&gt;=T25,VLOOKUP(G25,sf.V!$A$3:$K$124,10,FALSE),"")))</f>
        <v/>
      </c>
      <c r="Q25" s="36" t="n"/>
      <c r="R25" s="53" t="n"/>
      <c r="S25" s="25" t="n"/>
      <c r="T25" s="55">
        <f>IF(G25&lt;&gt;"",VLOOKUP(G25,sf.V!$A$3:$K$124,11,FALSE),"")</f>
        <v/>
      </c>
      <c r="U25" s="51" t="n"/>
    </row>
    <row r="26" ht="18" customHeight="1">
      <c r="B26" s="25" t="n"/>
      <c r="C26" s="81" t="n">
        <v>11</v>
      </c>
      <c r="D26" s="86">
        <f>IF(G26&lt;&gt;"",VLOOKUP(G26,sf.V!$A$3:$K$124,3,FALSE),"")</f>
        <v/>
      </c>
      <c r="E26" s="82">
        <f>IF(G26&lt;&gt;"",VLOOKUP(G26,sf.V!$A$3:$K$124,2,FALSE),"")</f>
        <v/>
      </c>
      <c r="F26" s="175" t="n"/>
      <c r="G26" s="176" t="n"/>
      <c r="H26" s="177" t="n"/>
      <c r="I26" s="118" t="n"/>
      <c r="J26" s="117" t="n"/>
      <c r="K26" s="169" t="n"/>
      <c r="L26" s="118" t="n"/>
      <c r="M26" s="168" t="n"/>
      <c r="N26" s="83" t="n"/>
      <c r="O26" s="87">
        <f>IF(G26&lt;&gt;"",VLOOKUP(G26,sf.V!$A$3:$K$124,6,FALSE)+N26,"")</f>
        <v/>
      </c>
      <c r="P26" s="88">
        <f>IF(G26="","",IF(O26&lt;T26,VLOOKUP(G26,sf.V!$A$3:$K$124,9,FALSE),IF(O26&gt;=T26,VLOOKUP(G26,sf.V!$A$3:$K$124,10,FALSE),"")))</f>
        <v/>
      </c>
      <c r="Q26" s="36" t="n"/>
      <c r="R26" s="53" t="n"/>
      <c r="S26" s="25" t="n"/>
      <c r="T26" s="55">
        <f>IF(G26&lt;&gt;"",VLOOKUP(G26,sf.V!$A$3:$K$124,11,FALSE),"")</f>
        <v/>
      </c>
      <c r="U26" s="51" t="n"/>
    </row>
    <row r="27" ht="18" customHeight="1">
      <c r="B27" s="25" t="n"/>
      <c r="C27" s="63" t="n">
        <v>12</v>
      </c>
      <c r="D27" s="86">
        <f>IF(G27&lt;&gt;"",VLOOKUP(G27,sf.V!$A$3:$K$124,3,FALSE),"")</f>
        <v/>
      </c>
      <c r="E27" s="82">
        <f>IF(G27&lt;&gt;"",VLOOKUP(G27,sf.V!$A$3:$K$124,2,FALSE),"")</f>
        <v/>
      </c>
      <c r="F27" s="175" t="n"/>
      <c r="G27" s="176" t="n"/>
      <c r="H27" s="177" t="n"/>
      <c r="I27" s="118" t="n"/>
      <c r="J27" s="117" t="n"/>
      <c r="K27" s="169" t="n"/>
      <c r="L27" s="117" t="n"/>
      <c r="M27" s="169" t="n"/>
      <c r="N27" s="83" t="n"/>
      <c r="O27" s="87">
        <f>IF(G27&lt;&gt;"",VLOOKUP(G27,sf.V!$A$3:$K$124,6,FALSE)+N27,"")</f>
        <v/>
      </c>
      <c r="P27" s="88">
        <f>IF(G27="","",IF(O27&lt;T27,VLOOKUP(G27,sf.V!$A$3:$K$124,9,FALSE),IF(O27&gt;=T27,VLOOKUP(G27,sf.V!$A$3:$K$124,10,FALSE),"")))</f>
        <v/>
      </c>
      <c r="Q27" s="36" t="n"/>
      <c r="R27" s="53" t="n"/>
      <c r="S27" s="25" t="n"/>
      <c r="T27" s="55">
        <f>IF(G27&lt;&gt;"",VLOOKUP(G27,sf.V!$A$3:$K$124,11,FALSE),"")</f>
        <v/>
      </c>
      <c r="U27" s="51" t="n"/>
    </row>
    <row r="28" ht="18" customHeight="1">
      <c r="B28" s="25" t="n"/>
      <c r="C28" s="81" t="n">
        <v>13</v>
      </c>
      <c r="D28" s="86">
        <f>IF(G28&lt;&gt;"",VLOOKUP(G28,sf.V!$A$3:$K$124,3,FALSE),"")</f>
        <v/>
      </c>
      <c r="E28" s="82">
        <f>IF(G28&lt;&gt;"",VLOOKUP(G28,sf.V!$A$3:$K$124,2,FALSE),"")</f>
        <v/>
      </c>
      <c r="F28" s="175" t="n"/>
      <c r="G28" s="176" t="n"/>
      <c r="H28" s="177" t="n"/>
      <c r="I28" s="118" t="n"/>
      <c r="J28" s="117" t="n"/>
      <c r="K28" s="169" t="n"/>
      <c r="L28" s="117" t="n"/>
      <c r="M28" s="169" t="n"/>
      <c r="N28" s="83" t="n"/>
      <c r="O28" s="87">
        <f>IF(G28&lt;&gt;"",VLOOKUP(G28,sf.V!$A$3:$K$124,6,FALSE)+N28,"")</f>
        <v/>
      </c>
      <c r="P28" s="88">
        <f>IF(G28="","",IF(O28&lt;T28,VLOOKUP(G28,sf.V!$A$3:$K$124,9,FALSE),IF(O28&gt;=T28,VLOOKUP(G28,sf.V!$A$3:$K$124,10,FALSE),"")))</f>
        <v/>
      </c>
      <c r="Q28" s="36" t="n"/>
      <c r="R28" s="53" t="n"/>
      <c r="S28" s="25" t="n"/>
      <c r="T28" s="55">
        <f>IF(G28&lt;&gt;"",VLOOKUP(G28,sf.V!$A$3:$K$124,11,FALSE),"")</f>
        <v/>
      </c>
      <c r="U28" s="51" t="n"/>
    </row>
    <row r="29" ht="18" customHeight="1">
      <c r="B29" s="25" t="n"/>
      <c r="C29" s="63" t="n">
        <v>14</v>
      </c>
      <c r="D29" s="86">
        <f>IF(G29&lt;&gt;"",VLOOKUP(G29,sf.V!$A$3:$K$124,3,FALSE),"")</f>
        <v/>
      </c>
      <c r="E29" s="82">
        <f>IF(G29&lt;&gt;"",VLOOKUP(G29,sf.V!$A$3:$K$124,2,FALSE),"")</f>
        <v/>
      </c>
      <c r="F29" s="175" t="n"/>
      <c r="G29" s="176" t="n"/>
      <c r="H29" s="177" t="n"/>
      <c r="I29" s="118" t="n"/>
      <c r="J29" s="117" t="n"/>
      <c r="K29" s="169" t="n"/>
      <c r="L29" s="117" t="n"/>
      <c r="M29" s="169" t="n"/>
      <c r="N29" s="83" t="n"/>
      <c r="O29" s="87">
        <f>IF(G29&lt;&gt;"",VLOOKUP(G29,sf.V!$A$3:$K$124,6,FALSE)+N29,"")</f>
        <v/>
      </c>
      <c r="P29" s="88">
        <f>IF(G29="","",IF(O29&lt;T29,VLOOKUP(G29,sf.V!$A$3:$K$124,9,FALSE),IF(O29&gt;=T29,VLOOKUP(G29,sf.V!$A$3:$K$124,10,FALSE),"")))</f>
        <v/>
      </c>
      <c r="Q29" s="36" t="n"/>
      <c r="R29" s="53" t="n"/>
      <c r="S29" s="25" t="n"/>
      <c r="T29" s="55">
        <f>IF(G29&lt;&gt;"",VLOOKUP(G29,sf.V!$A$3:$K$124,11,FALSE),"")</f>
        <v/>
      </c>
      <c r="U29" s="51" t="n"/>
    </row>
    <row r="30" ht="18" customHeight="1">
      <c r="B30" s="25" t="n"/>
      <c r="C30" s="81" t="n">
        <v>15</v>
      </c>
      <c r="D30" s="86">
        <f>IF(G30&lt;&gt;"",VLOOKUP(G30,sf.V!$A$3:$K$124,3,FALSE),"")</f>
        <v/>
      </c>
      <c r="E30" s="82">
        <f>IF(G30&lt;&gt;"",VLOOKUP(G30,sf.V!$A$3:$K$124,2,FALSE),"")</f>
        <v/>
      </c>
      <c r="F30" s="175" t="n"/>
      <c r="G30" s="176" t="n"/>
      <c r="H30" s="177" t="n"/>
      <c r="I30" s="118" t="n"/>
      <c r="J30" s="117" t="n"/>
      <c r="K30" s="169" t="n"/>
      <c r="L30" s="117" t="n"/>
      <c r="M30" s="169" t="n"/>
      <c r="N30" s="83" t="n"/>
      <c r="O30" s="87">
        <f>IF(G30&lt;&gt;"",VLOOKUP(G30,sf.V!$A$3:$K$124,6,FALSE)+N30,"")</f>
        <v/>
      </c>
      <c r="P30" s="88">
        <f>IF(G30="","",IF(O30&lt;T30,VLOOKUP(G30,sf.V!$A$3:$K$124,9,FALSE),IF(O30&gt;=T30,VLOOKUP(G30,sf.V!$A$3:$K$124,10,FALSE),"")))</f>
        <v/>
      </c>
      <c r="Q30" s="36" t="n"/>
      <c r="R30" s="53" t="n"/>
      <c r="S30" s="25" t="n"/>
      <c r="T30" s="55">
        <f>IF(G30&lt;&gt;"",VLOOKUP(G30,sf.V!$A$3:$K$124,11,FALSE),"")</f>
        <v/>
      </c>
      <c r="U30" s="51" t="n"/>
    </row>
    <row r="31" ht="18" customHeight="1">
      <c r="B31" s="25" t="n"/>
      <c r="C31" s="63" t="n">
        <v>16</v>
      </c>
      <c r="D31" s="86">
        <f>IF(G31&lt;&gt;"",VLOOKUP(G31,sf.V!$A$3:$K$124,3,FALSE),"")</f>
        <v/>
      </c>
      <c r="E31" s="82">
        <f>IF(G31&lt;&gt;"",VLOOKUP(G31,sf.V!$A$3:$K$124,2,FALSE),"")</f>
        <v/>
      </c>
      <c r="F31" s="175" t="n"/>
      <c r="G31" s="176" t="n"/>
      <c r="H31" s="177" t="n"/>
      <c r="I31" s="118" t="n"/>
      <c r="J31" s="117" t="n"/>
      <c r="K31" s="169" t="n"/>
      <c r="L31" s="117" t="n"/>
      <c r="M31" s="169" t="n"/>
      <c r="N31" s="83" t="n"/>
      <c r="O31" s="87">
        <f>IF(G31&lt;&gt;"",VLOOKUP(G31,sf.V!$A$3:$K$124,6,FALSE)+N31,"")</f>
        <v/>
      </c>
      <c r="P31" s="88">
        <f>IF(G31="","",IF(O31&lt;T31,VLOOKUP(G31,sf.V!$A$3:$K$124,9,FALSE),IF(O31&gt;=T31,VLOOKUP(G31,sf.V!$A$3:$K$124,10,FALSE),"")))</f>
        <v/>
      </c>
      <c r="Q31" s="36" t="n"/>
      <c r="R31" s="53" t="n"/>
      <c r="S31" s="25" t="n"/>
      <c r="T31" s="55">
        <f>IF(G31&lt;&gt;"",VLOOKUP(G31,sf.V!$A$3:$K$124,11,FALSE),"")</f>
        <v/>
      </c>
      <c r="U31" s="51" t="n"/>
    </row>
    <row r="32" ht="18" customHeight="1">
      <c r="B32" s="25" t="n"/>
      <c r="C32" s="81" t="n">
        <v>17</v>
      </c>
      <c r="D32" s="86">
        <f>IF(G32&lt;&gt;"",VLOOKUP(G32,sf.V!$A$3:$K$124,3,FALSE),"")</f>
        <v/>
      </c>
      <c r="E32" s="82">
        <f>IF(G32&lt;&gt;"",VLOOKUP(G32,sf.V!$A$3:$K$124,2,FALSE),"")</f>
        <v/>
      </c>
      <c r="F32" s="175" t="n"/>
      <c r="G32" s="176" t="n"/>
      <c r="H32" s="177" t="n"/>
      <c r="I32" s="118" t="n"/>
      <c r="J32" s="117" t="n"/>
      <c r="K32" s="169" t="n"/>
      <c r="L32" s="117" t="n"/>
      <c r="M32" s="169" t="n"/>
      <c r="N32" s="83" t="n"/>
      <c r="O32" s="87">
        <f>IF(G32&lt;&gt;"",VLOOKUP(G32,sf.V!$A$3:$K$124,6,FALSE)+N32,"")</f>
        <v/>
      </c>
      <c r="P32" s="88">
        <f>IF(G32="","",IF(O32&lt;T32,VLOOKUP(G32,sf.V!$A$3:$K$124,9,FALSE),IF(O32&gt;=T32,VLOOKUP(G32,sf.V!$A$3:$K$124,10,FALSE),"")))</f>
        <v/>
      </c>
      <c r="Q32" s="36" t="n"/>
      <c r="R32" s="53" t="n"/>
      <c r="S32" s="25" t="n"/>
      <c r="T32" s="55">
        <f>IF(G32&lt;&gt;"",VLOOKUP(G32,sf.V!$A$3:$K$124,11,FALSE),"")</f>
        <v/>
      </c>
      <c r="U32" s="51" t="n"/>
    </row>
    <row r="33" ht="18" customHeight="1">
      <c r="B33" s="25" t="n"/>
      <c r="C33" s="63" t="n">
        <v>18</v>
      </c>
      <c r="D33" s="86">
        <f>IF(G33&lt;&gt;"",VLOOKUP(G33,sf.V!$A$3:$K$124,3,FALSE),"")</f>
        <v/>
      </c>
      <c r="E33" s="82">
        <f>IF(G33&lt;&gt;"",VLOOKUP(G33,sf.V!$A$3:$K$124,2,FALSE),"")</f>
        <v/>
      </c>
      <c r="F33" s="175" t="n"/>
      <c r="G33" s="176" t="n"/>
      <c r="H33" s="177" t="n"/>
      <c r="I33" s="118" t="n"/>
      <c r="J33" s="117" t="n"/>
      <c r="K33" s="169" t="n"/>
      <c r="L33" s="117" t="n"/>
      <c r="M33" s="169" t="n"/>
      <c r="N33" s="83" t="n"/>
      <c r="O33" s="87">
        <f>IF(G33&lt;&gt;"",VLOOKUP(G33,sf.V!$A$3:$K$124,6,FALSE)+N33,"")</f>
        <v/>
      </c>
      <c r="P33" s="88">
        <f>IF(G33="","",IF(O33&lt;T33,VLOOKUP(G33,sf.V!$A$3:$K$124,9,FALSE),IF(O33&gt;=T33,VLOOKUP(G33,sf.V!$A$3:$K$124,10,FALSE),"")))</f>
        <v/>
      </c>
      <c r="Q33" s="36" t="n"/>
      <c r="R33" s="53" t="n"/>
      <c r="S33" s="25" t="n"/>
      <c r="T33" s="55">
        <f>IF(G33&lt;&gt;"",VLOOKUP(G33,sf.V!$A$3:$K$124,11,FALSE),"")</f>
        <v/>
      </c>
      <c r="U33" s="51" t="n"/>
    </row>
    <row r="34" ht="18" customHeight="1">
      <c r="B34" s="25" t="n"/>
      <c r="C34" s="81" t="n">
        <v>19</v>
      </c>
      <c r="D34" s="86">
        <f>IF(G34&lt;&gt;"",VLOOKUP(G34,sf.V!$A$3:$K$124,3,FALSE),"")</f>
        <v/>
      </c>
      <c r="E34" s="82">
        <f>IF(G34&lt;&gt;"",VLOOKUP(G34,sf.V!$A$3:$K$124,2,FALSE),"")</f>
        <v/>
      </c>
      <c r="F34" s="175" t="n"/>
      <c r="G34" s="176" t="n"/>
      <c r="H34" s="177" t="n"/>
      <c r="I34" s="118" t="n"/>
      <c r="J34" s="117" t="n"/>
      <c r="K34" s="169" t="n"/>
      <c r="L34" s="117" t="n"/>
      <c r="M34" s="169" t="n"/>
      <c r="N34" s="83" t="n"/>
      <c r="O34" s="87">
        <f>IF(G34&lt;&gt;"",VLOOKUP(G34,sf.V!$A$3:$K$124,6,FALSE)+N34,"")</f>
        <v/>
      </c>
      <c r="P34" s="88">
        <f>IF(G34="","",IF(O34&lt;T34,VLOOKUP(G34,sf.V!$A$3:$K$124,9,FALSE),IF(O34&gt;=T34,VLOOKUP(G34,sf.V!$A$3:$K$124,10,FALSE),"")))</f>
        <v/>
      </c>
      <c r="Q34" s="36" t="n"/>
      <c r="R34" s="53" t="n"/>
      <c r="S34" s="25" t="n"/>
      <c r="T34" s="55">
        <f>IF(G34&lt;&gt;"",VLOOKUP(G34,sf.V!$A$3:$K$124,11,FALSE),"")</f>
        <v/>
      </c>
      <c r="U34" s="51" t="n"/>
    </row>
    <row r="35" ht="18" customHeight="1">
      <c r="B35" s="25" t="n"/>
      <c r="C35" s="63" t="n">
        <v>20</v>
      </c>
      <c r="D35" s="86">
        <f>IF(G35&lt;&gt;"",VLOOKUP(G35,sf.V!$A$3:$K$124,3,FALSE),"")</f>
        <v/>
      </c>
      <c r="E35" s="82">
        <f>IF(G35&lt;&gt;"",VLOOKUP(G35,sf.V!$A$3:$K$124,2,FALSE),"")</f>
        <v/>
      </c>
      <c r="F35" s="175" t="n"/>
      <c r="G35" s="176" t="n"/>
      <c r="H35" s="177" t="n"/>
      <c r="I35" s="118" t="n"/>
      <c r="J35" s="117" t="n"/>
      <c r="K35" s="169" t="n"/>
      <c r="L35" s="118" t="n"/>
      <c r="M35" s="168" t="n"/>
      <c r="N35" s="83" t="n"/>
      <c r="O35" s="87">
        <f>IF(G35&lt;&gt;"",VLOOKUP(G35,sf.V!$A$3:$K$124,6,FALSE)+N35,"")</f>
        <v/>
      </c>
      <c r="P35" s="88">
        <f>IF(G35="","",IF(O35&lt;T35,VLOOKUP(G35,sf.V!$A$3:$K$124,9,FALSE),IF(O35&gt;=T35,VLOOKUP(G35,sf.V!$A$3:$K$124,10,FALSE),"")))</f>
        <v/>
      </c>
      <c r="Q35" s="36" t="n"/>
      <c r="R35" s="53" t="n"/>
      <c r="S35" s="25" t="n"/>
      <c r="T35" s="55">
        <f>IF(G35&lt;&gt;"",VLOOKUP(G35,sf.V!$A$3:$K$124,11,FALSE),"")</f>
        <v/>
      </c>
      <c r="U35" s="51" t="n"/>
    </row>
    <row r="36" ht="18" customHeight="1">
      <c r="B36" s="25" t="n"/>
      <c r="C36" s="81" t="n">
        <v>21</v>
      </c>
      <c r="D36" s="86">
        <f>IF(G36&lt;&gt;"",VLOOKUP(G36,sf.V!$A$3:$K$124,3,FALSE),"")</f>
        <v/>
      </c>
      <c r="E36" s="82">
        <f>IF(G36&lt;&gt;"",VLOOKUP(G36,sf.V!$A$3:$K$124,2,FALSE),"")</f>
        <v/>
      </c>
      <c r="F36" s="175">
        <f>IF(G36&lt;&gt;"",VLOOKUP(G36,sf.V!$A$3:$K$124,5,FALSE),"")</f>
        <v/>
      </c>
      <c r="G36" s="176" t="n"/>
      <c r="H36" s="177" t="n"/>
      <c r="I36" s="117" t="n"/>
      <c r="J36" s="117" t="n"/>
      <c r="K36" s="169" t="n"/>
      <c r="L36" s="117" t="n"/>
      <c r="M36" s="169" t="n"/>
      <c r="N36" s="83" t="n"/>
      <c r="O36" s="87">
        <f>IF(G36&lt;&gt;"",VLOOKUP(G36,sf.V!$A$3:$K$124,6,FALSE)+N36,"")</f>
        <v/>
      </c>
      <c r="P36" s="88">
        <f>IF(G36="","",IF(O36&lt;T36,VLOOKUP(G36,sf.V!$A$3:$K$124,9,FALSE),IF(O36&gt;=T36,VLOOKUP(G36,sf.V!$A$3:$K$124,10,FALSE),"")))</f>
        <v/>
      </c>
      <c r="Q36" s="36" t="n"/>
      <c r="R36" s="53" t="n"/>
      <c r="S36" s="25" t="n"/>
      <c r="T36" s="55">
        <f>IF(G36&lt;&gt;"",VLOOKUP(G36,sf.V!$A$3:$K$124,11,FALSE),"")</f>
        <v/>
      </c>
      <c r="U36" s="51" t="n"/>
    </row>
    <row r="37" ht="18" customHeight="1">
      <c r="B37" s="25" t="n"/>
      <c r="C37" s="63" t="n">
        <v>22</v>
      </c>
      <c r="D37" s="86">
        <f>IF(G37&lt;&gt;"",VLOOKUP(G37,sf.V!$A$3:$K$124,3,FALSE),"")</f>
        <v/>
      </c>
      <c r="E37" s="82">
        <f>IF(G37&lt;&gt;"",VLOOKUP(G37,sf.V!$A$3:$K$124,2,FALSE),"")</f>
        <v/>
      </c>
      <c r="F37" s="175">
        <f>IF(G37&lt;&gt;"",VLOOKUP(G37,sf.V!$A$3:$K$124,5,FALSE),"")</f>
        <v/>
      </c>
      <c r="G37" s="176" t="n"/>
      <c r="H37" s="177" t="n"/>
      <c r="I37" s="117" t="n"/>
      <c r="J37" s="117" t="n"/>
      <c r="K37" s="169" t="n"/>
      <c r="L37" s="117" t="n"/>
      <c r="M37" s="169" t="n"/>
      <c r="N37" s="83" t="n"/>
      <c r="O37" s="87">
        <f>IF(G37&lt;&gt;"",VLOOKUP(G37,sf.V!$A$3:$K$124,6,FALSE)+N37,"")</f>
        <v/>
      </c>
      <c r="P37" s="88">
        <f>IF(G37="","",IF(O37&lt;T37,VLOOKUP(G37,sf.V!$A$3:$K$124,9,FALSE),IF(O37&gt;=T37,VLOOKUP(G37,sf.V!$A$3:$K$124,10,FALSE),"")))</f>
        <v/>
      </c>
      <c r="Q37" s="36" t="n"/>
      <c r="R37" s="53" t="n"/>
      <c r="S37" s="25" t="n"/>
      <c r="T37" s="55">
        <f>IF(G37&lt;&gt;"",VLOOKUP(G37,sf.V!$A$3:$K$124,11,FALSE),"")</f>
        <v/>
      </c>
      <c r="U37" s="51" t="n"/>
    </row>
    <row r="38" ht="18" customHeight="1">
      <c r="B38" s="25" t="n"/>
      <c r="C38" s="81" t="n">
        <v>23</v>
      </c>
      <c r="D38" s="86">
        <f>IF(G38&lt;&gt;"",VLOOKUP(G38,sf.V!$A$3:$K$124,3,FALSE),"")</f>
        <v/>
      </c>
      <c r="E38" s="82">
        <f>IF(G38&lt;&gt;"",VLOOKUP(G38,sf.V!$A$3:$K$124,2,FALSE),"")</f>
        <v/>
      </c>
      <c r="F38" s="175">
        <f>IF(G38&lt;&gt;"",VLOOKUP(G38,sf.V!$A$3:$K$124,5,FALSE),"")</f>
        <v/>
      </c>
      <c r="G38" s="176" t="n"/>
      <c r="H38" s="177" t="n"/>
      <c r="I38" s="117" t="n"/>
      <c r="J38" s="117" t="n"/>
      <c r="K38" s="169" t="n"/>
      <c r="L38" s="117" t="n"/>
      <c r="M38" s="169" t="n"/>
      <c r="N38" s="83" t="n"/>
      <c r="O38" s="87">
        <f>IF(G38&lt;&gt;"",VLOOKUP(G38,sf.V!$A$3:$K$124,6,FALSE)+N38,"")</f>
        <v/>
      </c>
      <c r="P38" s="88">
        <f>IF(G38="","",IF(O38&lt;T38,VLOOKUP(G38,sf.V!$A$3:$K$124,9,FALSE),IF(O38&gt;=T38,VLOOKUP(G38,sf.V!$A$3:$K$124,10,FALSE),"")))</f>
        <v/>
      </c>
      <c r="Q38" s="36" t="n"/>
      <c r="R38" s="53" t="n"/>
      <c r="S38" s="25" t="n"/>
      <c r="T38" s="55">
        <f>IF(G38&lt;&gt;"",VLOOKUP(G38,sf.V!$A$3:$K$124,11,FALSE),"")</f>
        <v/>
      </c>
      <c r="U38" s="51" t="n"/>
    </row>
    <row r="39" ht="18" customHeight="1">
      <c r="B39" s="25" t="n"/>
      <c r="C39" s="63" t="n">
        <v>24</v>
      </c>
      <c r="D39" s="86">
        <f>IF(G39&lt;&gt;"",VLOOKUP(G39,sf.V!$A$3:$K$124,3,FALSE),"")</f>
        <v/>
      </c>
      <c r="E39" s="82">
        <f>IF(G39&lt;&gt;"",VLOOKUP(G39,sf.V!$A$3:$K$124,2,FALSE),"")</f>
        <v/>
      </c>
      <c r="F39" s="175">
        <f>IF(G39&lt;&gt;"",VLOOKUP(G39,sf.V!$A$3:$K$124,5,FALSE),"")</f>
        <v/>
      </c>
      <c r="G39" s="176" t="n"/>
      <c r="H39" s="177" t="n"/>
      <c r="I39" s="117" t="n"/>
      <c r="J39" s="117" t="n"/>
      <c r="K39" s="169" t="n"/>
      <c r="L39" s="117" t="n"/>
      <c r="M39" s="169" t="n"/>
      <c r="N39" s="83" t="n"/>
      <c r="O39" s="87">
        <f>IF(G39&lt;&gt;"",VLOOKUP(G39,sf.V!$A$3:$K$124,6,FALSE)+N39,"")</f>
        <v/>
      </c>
      <c r="P39" s="88">
        <f>IF(G39="","",IF(O39&lt;T39,VLOOKUP(G39,sf.V!$A$3:$K$124,9,FALSE),IF(O39&gt;=T39,VLOOKUP(G39,sf.V!$A$3:$K$124,10,FALSE),"")))</f>
        <v/>
      </c>
      <c r="Q39" s="36" t="n"/>
      <c r="R39" s="53" t="n"/>
      <c r="S39" s="25" t="n"/>
      <c r="T39" s="55">
        <f>IF(G39&lt;&gt;"",VLOOKUP(G39,sf.V!$A$3:$K$124,11,FALSE),"")</f>
        <v/>
      </c>
      <c r="U39" s="51" t="n"/>
    </row>
    <row r="40" ht="18" customHeight="1">
      <c r="B40" s="25" t="n"/>
      <c r="C40" s="81" t="n">
        <v>25</v>
      </c>
      <c r="D40" s="86">
        <f>IF(G40&lt;&gt;"",VLOOKUP(G40,sf.V!$A$3:$K$124,3,FALSE),"")</f>
        <v/>
      </c>
      <c r="E40" s="82">
        <f>IF(G40&lt;&gt;"",VLOOKUP(G40,sf.V!$A$3:$K$124,2,FALSE),"")</f>
        <v/>
      </c>
      <c r="F40" s="175">
        <f>IF(G40&lt;&gt;"",VLOOKUP(G40,sf.V!$A$3:$K$124,5,FALSE),"")</f>
        <v/>
      </c>
      <c r="G40" s="176" t="n"/>
      <c r="H40" s="177" t="n"/>
      <c r="I40" s="117" t="n"/>
      <c r="J40" s="117" t="n"/>
      <c r="K40" s="169" t="n"/>
      <c r="L40" s="117" t="n"/>
      <c r="M40" s="169" t="n"/>
      <c r="N40" s="83" t="n"/>
      <c r="O40" s="87">
        <f>IF(G40&lt;&gt;"",VLOOKUP(G40,sf.V!$A$3:$K$124,6,FALSE)+N40,"")</f>
        <v/>
      </c>
      <c r="P40" s="88">
        <f>IF(G40="","",IF(O40&lt;T40,VLOOKUP(G40,sf.V!$A$3:$K$124,9,FALSE),IF(O40&gt;=T40,VLOOKUP(G40,sf.V!$A$3:$K$124,10,FALSE),"")))</f>
        <v/>
      </c>
      <c r="Q40" s="36" t="n"/>
      <c r="R40" s="53" t="n"/>
      <c r="S40" s="25" t="n"/>
      <c r="T40" s="55">
        <f>IF(G40&lt;&gt;"",VLOOKUP(G40,sf.V!$A$3:$K$124,11,FALSE),"")</f>
        <v/>
      </c>
      <c r="U40" s="51" t="n"/>
    </row>
    <row r="41" ht="18" customHeight="1">
      <c r="B41" s="25" t="n"/>
      <c r="C41" s="63" t="n">
        <v>26</v>
      </c>
      <c r="D41" s="86">
        <f>IF(G41&lt;&gt;"",VLOOKUP(G41,sf.V!$A$3:$K$124,3,FALSE),"")</f>
        <v/>
      </c>
      <c r="E41" s="82">
        <f>IF(G41&lt;&gt;"",VLOOKUP(G41,sf.V!$A$3:$K$124,2,FALSE),"")</f>
        <v/>
      </c>
      <c r="F41" s="175">
        <f>IF(G41&lt;&gt;"",VLOOKUP(G41,sf.V!$A$3:$K$124,5,FALSE),"")</f>
        <v/>
      </c>
      <c r="G41" s="176" t="n"/>
      <c r="H41" s="177" t="n"/>
      <c r="I41" s="117" t="n"/>
      <c r="J41" s="117" t="n"/>
      <c r="K41" s="169" t="n"/>
      <c r="L41" s="117" t="n"/>
      <c r="M41" s="169" t="n"/>
      <c r="N41" s="83" t="n"/>
      <c r="O41" s="87">
        <f>IF(G41&lt;&gt;"",VLOOKUP(G41,sf.V!$A$3:$K$124,6,FALSE)+N41,"")</f>
        <v/>
      </c>
      <c r="P41" s="88">
        <f>IF(G41="","",IF(O41&lt;T41,VLOOKUP(G41,sf.V!$A$3:$K$124,9,FALSE),IF(O41&gt;=T41,VLOOKUP(G41,sf.V!$A$3:$K$124,10,FALSE),"")))</f>
        <v/>
      </c>
      <c r="Q41" s="36" t="n"/>
      <c r="R41" s="53" t="n"/>
      <c r="S41" s="25" t="n"/>
      <c r="T41" s="55">
        <f>IF(G41&lt;&gt;"",VLOOKUP(G41,sf.V!$A$3:$K$124,11,FALSE),"")</f>
        <v/>
      </c>
      <c r="U41" s="51" t="n"/>
    </row>
    <row r="42" ht="18" customHeight="1">
      <c r="B42" s="25" t="n"/>
      <c r="C42" s="81" t="n">
        <v>27</v>
      </c>
      <c r="D42" s="86">
        <f>IF(G42&lt;&gt;"",VLOOKUP(G42,sf.V!$A$3:$K$124,3,FALSE),"")</f>
        <v/>
      </c>
      <c r="E42" s="82">
        <f>IF(G42&lt;&gt;"",VLOOKUP(G42,sf.V!$A$3:$K$124,2,FALSE),"")</f>
        <v/>
      </c>
      <c r="F42" s="175">
        <f>IF(G42&lt;&gt;"",VLOOKUP(G42,sf.V!$A$3:$K$124,5,FALSE),"")</f>
        <v/>
      </c>
      <c r="G42" s="176" t="n"/>
      <c r="H42" s="177" t="n"/>
      <c r="I42" s="117" t="n"/>
      <c r="J42" s="117" t="n"/>
      <c r="K42" s="169" t="n"/>
      <c r="L42" s="117" t="n"/>
      <c r="M42" s="169" t="n"/>
      <c r="N42" s="83" t="n"/>
      <c r="O42" s="87">
        <f>IF(G42&lt;&gt;"",VLOOKUP(G42,sf.V!$A$3:$K$124,6,FALSE)+N42,"")</f>
        <v/>
      </c>
      <c r="P42" s="88">
        <f>IF(G42="","",IF(O42&lt;T42,VLOOKUP(G42,sf.V!$A$3:$K$124,9,FALSE),IF(O42&gt;=T42,VLOOKUP(G42,sf.V!$A$3:$K$124,10,FALSE),"")))</f>
        <v/>
      </c>
      <c r="Q42" s="36" t="n"/>
      <c r="R42" s="53" t="n"/>
      <c r="S42" s="25" t="n"/>
      <c r="T42" s="55">
        <f>IF(G42&lt;&gt;"",VLOOKUP(G42,sf.V!$A$3:$K$124,11,FALSE),"")</f>
        <v/>
      </c>
      <c r="U42" s="51" t="n"/>
    </row>
    <row r="43" ht="18" customHeight="1">
      <c r="B43" s="25" t="n"/>
      <c r="C43" s="63" t="n">
        <v>28</v>
      </c>
      <c r="D43" s="86">
        <f>IF(G43&lt;&gt;"",VLOOKUP(G43,sf.V!$A$3:$K$124,3,FALSE),"")</f>
        <v/>
      </c>
      <c r="E43" s="82">
        <f>IF(G43&lt;&gt;"",VLOOKUP(G43,sf.V!$A$3:$K$124,2,FALSE),"")</f>
        <v/>
      </c>
      <c r="F43" s="175">
        <f>IF(G43&lt;&gt;"",VLOOKUP(G43,sf.V!$A$3:$K$124,5,FALSE),"")</f>
        <v/>
      </c>
      <c r="G43" s="176" t="n"/>
      <c r="H43" s="177" t="n"/>
      <c r="I43" s="117" t="n"/>
      <c r="J43" s="117" t="n"/>
      <c r="K43" s="169" t="n"/>
      <c r="L43" s="117" t="n"/>
      <c r="M43" s="169" t="n"/>
      <c r="N43" s="83" t="n"/>
      <c r="O43" s="87">
        <f>IF(G43&lt;&gt;"",VLOOKUP(G43,sf.V!$A$3:$K$124,6,FALSE)+N43,"")</f>
        <v/>
      </c>
      <c r="P43" s="88">
        <f>IF(G43="","",IF(O43&lt;T43,VLOOKUP(G43,sf.V!$A$3:$K$124,9,FALSE),IF(O43&gt;=T43,VLOOKUP(G43,sf.V!$A$3:$K$124,10,FALSE),"")))</f>
        <v/>
      </c>
      <c r="Q43" s="36" t="n"/>
      <c r="R43" s="53" t="n"/>
      <c r="S43" s="25" t="n"/>
      <c r="T43" s="55">
        <f>IF(G43&lt;&gt;"",VLOOKUP(G43,sf.V!$A$3:$K$124,11,FALSE),"")</f>
        <v/>
      </c>
      <c r="U43" s="51" t="n"/>
    </row>
    <row r="44" ht="18" customHeight="1">
      <c r="B44" s="25" t="n"/>
      <c r="C44" s="81" t="n">
        <v>29</v>
      </c>
      <c r="D44" s="86">
        <f>IF(G44&lt;&gt;"",VLOOKUP(G44,sf.V!$A$3:$K$124,3,FALSE),"")</f>
        <v/>
      </c>
      <c r="E44" s="82">
        <f>IF(G44&lt;&gt;"",VLOOKUP(G44,sf.V!$A$3:$K$124,2,FALSE),"")</f>
        <v/>
      </c>
      <c r="F44" s="175">
        <f>IF(G44&lt;&gt;"",VLOOKUP(G44,sf.V!$A$3:$K$124,5,FALSE),"")</f>
        <v/>
      </c>
      <c r="G44" s="176" t="n"/>
      <c r="H44" s="177" t="n"/>
      <c r="I44" s="117" t="n"/>
      <c r="J44" s="117" t="n"/>
      <c r="K44" s="169" t="n"/>
      <c r="L44" s="117" t="n"/>
      <c r="M44" s="169" t="n"/>
      <c r="N44" s="83" t="n"/>
      <c r="O44" s="87">
        <f>IF(G44&lt;&gt;"",VLOOKUP(G44,sf.V!$A$3:$K$124,6,FALSE)+N44,"")</f>
        <v/>
      </c>
      <c r="P44" s="88">
        <f>IF(G44="","",IF(O44&lt;T44,VLOOKUP(G44,sf.V!$A$3:$K$124,9,FALSE),IF(O44&gt;=T44,VLOOKUP(G44,sf.V!$A$3:$K$124,10,FALSE),"")))</f>
        <v/>
      </c>
      <c r="Q44" s="36" t="n"/>
      <c r="R44" s="53" t="n"/>
      <c r="S44" s="25" t="n"/>
      <c r="T44" s="55">
        <f>IF(G44&lt;&gt;"",VLOOKUP(G44,sf.V!$A$3:$K$124,11,FALSE),"")</f>
        <v/>
      </c>
      <c r="U44" s="51" t="n"/>
    </row>
    <row r="45" ht="18" customHeight="1">
      <c r="B45" s="25" t="n"/>
      <c r="C45" s="63" t="n">
        <v>30</v>
      </c>
      <c r="D45" s="86">
        <f>IF(G45&lt;&gt;"",VLOOKUP(G45,sf.V!$A$3:$K$124,3,FALSE),"")</f>
        <v/>
      </c>
      <c r="E45" s="82">
        <f>IF(G45&lt;&gt;"",VLOOKUP(G45,sf.V!$A$3:$K$124,2,FALSE),"")</f>
        <v/>
      </c>
      <c r="F45" s="175">
        <f>IF(G45&lt;&gt;"",VLOOKUP(G45,sf.V!$A$3:$K$124,5,FALSE),"")</f>
        <v/>
      </c>
      <c r="G45" s="176" t="n"/>
      <c r="H45" s="177" t="n"/>
      <c r="I45" s="117" t="n"/>
      <c r="J45" s="117" t="n"/>
      <c r="K45" s="169" t="n"/>
      <c r="L45" s="117" t="n"/>
      <c r="M45" s="169" t="n"/>
      <c r="N45" s="83" t="n"/>
      <c r="O45" s="87">
        <f>IF(G45&lt;&gt;"",VLOOKUP(G45,sf.V!$A$3:$K$124,6,FALSE)+N45,"")</f>
        <v/>
      </c>
      <c r="P45" s="88">
        <f>IF(G45="","",IF(O45&lt;T45,VLOOKUP(G45,sf.V!$A$3:$K$124,9,FALSE),IF(O45&gt;=T45,VLOOKUP(G45,sf.V!$A$3:$K$124,10,FALSE),"")))</f>
        <v/>
      </c>
      <c r="Q45" s="36" t="n"/>
      <c r="R45" s="53" t="n"/>
      <c r="S45" s="25" t="n"/>
      <c r="T45" s="55">
        <f>IF(G45&lt;&gt;"",VLOOKUP(G45,sf.V!$A$3:$K$124,11,FALSE),"")</f>
        <v/>
      </c>
      <c r="U45" s="51" t="n"/>
    </row>
    <row r="46" ht="18" customHeight="1">
      <c r="B46" s="25" t="n"/>
      <c r="C46" s="81" t="n">
        <v>31</v>
      </c>
      <c r="D46" s="86">
        <f>IF(G46&lt;&gt;"",VLOOKUP(G46,sf.V!$A$3:$K$124,3,FALSE),"")</f>
        <v/>
      </c>
      <c r="E46" s="82">
        <f>IF(G46&lt;&gt;"",VLOOKUP(G46,sf.V!$A$3:$K$124,2,FALSE),"")</f>
        <v/>
      </c>
      <c r="F46" s="175">
        <f>IF(G46&lt;&gt;"",VLOOKUP(G46,sf.V!$A$3:$K$124,5,FALSE),"")</f>
        <v/>
      </c>
      <c r="G46" s="176" t="n"/>
      <c r="H46" s="177" t="n"/>
      <c r="I46" s="117" t="n"/>
      <c r="J46" s="117" t="n"/>
      <c r="K46" s="169" t="n"/>
      <c r="L46" s="117" t="n"/>
      <c r="M46" s="169" t="n"/>
      <c r="N46" s="83" t="n"/>
      <c r="O46" s="87">
        <f>IF(G46&lt;&gt;"",VLOOKUP(G46,sf.V!$A$3:$K$124,6,FALSE)+N46,"")</f>
        <v/>
      </c>
      <c r="P46" s="88">
        <f>IF(G46="","",IF(O46&lt;T46,VLOOKUP(G46,sf.V!$A$3:$K$124,9,FALSE),IF(O46&gt;=T46,VLOOKUP(G46,sf.V!$A$3:$K$124,10,FALSE),"")))</f>
        <v/>
      </c>
      <c r="Q46" s="36" t="n"/>
      <c r="R46" s="53" t="n"/>
      <c r="S46" s="25" t="n"/>
      <c r="T46" s="55">
        <f>IF(G46&lt;&gt;"",VLOOKUP(G46,sf.V!$A$3:$K$124,11,FALSE),"")</f>
        <v/>
      </c>
      <c r="U46" s="51" t="n"/>
    </row>
    <row r="47" ht="18" customHeight="1">
      <c r="B47" s="25" t="n"/>
      <c r="C47" s="63" t="n">
        <v>32</v>
      </c>
      <c r="D47" s="86">
        <f>IF(G47&lt;&gt;"",VLOOKUP(G47,sf.V!$A$3:$K$124,3,FALSE),"")</f>
        <v/>
      </c>
      <c r="E47" s="82">
        <f>IF(G47&lt;&gt;"",VLOOKUP(G47,sf.V!$A$3:$K$124,2,FALSE),"")</f>
        <v/>
      </c>
      <c r="F47" s="175">
        <f>IF(G47&lt;&gt;"",VLOOKUP(G47,sf.V!$A$3:$K$124,5,FALSE),"")</f>
        <v/>
      </c>
      <c r="G47" s="176" t="n"/>
      <c r="H47" s="177" t="n"/>
      <c r="I47" s="117" t="n"/>
      <c r="J47" s="117" t="n"/>
      <c r="K47" s="169" t="n"/>
      <c r="L47" s="117" t="n"/>
      <c r="M47" s="169" t="n"/>
      <c r="N47" s="83" t="n"/>
      <c r="O47" s="87">
        <f>IF(G47&lt;&gt;"",VLOOKUP(G47,sf.V!$A$3:$K$124,6,FALSE)+N47,"")</f>
        <v/>
      </c>
      <c r="P47" s="88">
        <f>IF(G47="","",IF(O47&lt;T47,VLOOKUP(G47,sf.V!$A$3:$K$124,9,FALSE),IF(O47&gt;=T47,VLOOKUP(G47,sf.V!$A$3:$K$124,10,FALSE),"")))</f>
        <v/>
      </c>
      <c r="Q47" s="36" t="n"/>
      <c r="R47" s="53" t="n"/>
      <c r="S47" s="25" t="n"/>
      <c r="T47" s="55">
        <f>IF(G47&lt;&gt;"",VLOOKUP(G47,sf.V!$A$3:$K$124,11,FALSE),"")</f>
        <v/>
      </c>
      <c r="U47" s="51" t="n"/>
    </row>
    <row r="48" ht="18" customHeight="1">
      <c r="B48" s="25" t="n"/>
      <c r="C48" s="81" t="n">
        <v>33</v>
      </c>
      <c r="D48" s="86">
        <f>IF(G48&lt;&gt;"",VLOOKUP(G48,sf.V!$A$3:$K$124,3,FALSE),"")</f>
        <v/>
      </c>
      <c r="E48" s="82">
        <f>IF(G48&lt;&gt;"",VLOOKUP(G48,sf.V!$A$3:$K$124,2,FALSE),"")</f>
        <v/>
      </c>
      <c r="F48" s="175">
        <f>IF(G48&lt;&gt;"",VLOOKUP(G48,sf.V!$A$3:$K$124,5,FALSE),"")</f>
        <v/>
      </c>
      <c r="G48" s="176" t="n"/>
      <c r="H48" s="177" t="n"/>
      <c r="I48" s="117" t="n"/>
      <c r="J48" s="117" t="n"/>
      <c r="K48" s="169" t="n"/>
      <c r="L48" s="117" t="n"/>
      <c r="M48" s="169" t="n"/>
      <c r="N48" s="83" t="n"/>
      <c r="O48" s="87">
        <f>IF(G48&lt;&gt;"",VLOOKUP(G48,sf.V!$A$3:$K$124,6,FALSE)+N48,"")</f>
        <v/>
      </c>
      <c r="P48" s="88">
        <f>IF(G48="","",IF(O48&lt;T48,VLOOKUP(G48,sf.V!$A$3:$K$124,9,FALSE),IF(O48&gt;=T48,VLOOKUP(G48,sf.V!$A$3:$K$124,10,FALSE),"")))</f>
        <v/>
      </c>
      <c r="Q48" s="36" t="n"/>
      <c r="R48" s="53" t="n"/>
      <c r="S48" s="25" t="n"/>
      <c r="T48" s="55">
        <f>IF(G48&lt;&gt;"",VLOOKUP(G48,sf.V!$A$3:$K$124,11,FALSE),"")</f>
        <v/>
      </c>
      <c r="U48" s="51" t="n"/>
    </row>
    <row r="49" ht="18" customHeight="1">
      <c r="B49" s="25" t="n"/>
      <c r="C49" s="63" t="n">
        <v>34</v>
      </c>
      <c r="D49" s="86">
        <f>IF(G49&lt;&gt;"",VLOOKUP(G49,sf.V!$A$3:$K$124,3,FALSE),"")</f>
        <v/>
      </c>
      <c r="E49" s="82">
        <f>IF(G49&lt;&gt;"",VLOOKUP(G49,sf.V!$A$3:$K$124,2,FALSE),"")</f>
        <v/>
      </c>
      <c r="F49" s="175">
        <f>IF(G49&lt;&gt;"",VLOOKUP(G49,sf.V!$A$3:$K$124,5,FALSE),"")</f>
        <v/>
      </c>
      <c r="G49" s="176" t="n"/>
      <c r="H49" s="177" t="n"/>
      <c r="I49" s="117" t="n"/>
      <c r="J49" s="117" t="n"/>
      <c r="K49" s="169" t="n"/>
      <c r="L49" s="117" t="n"/>
      <c r="M49" s="169" t="n"/>
      <c r="N49" s="83" t="n"/>
      <c r="O49" s="87">
        <f>IF(G49&lt;&gt;"",VLOOKUP(G49,sf.V!$A$3:$K$124,6,FALSE)+N49,"")</f>
        <v/>
      </c>
      <c r="P49" s="88">
        <f>IF(G49="","",IF(O49&lt;T49,VLOOKUP(G49,sf.V!$A$3:$K$124,9,FALSE),IF(O49&gt;=T49,VLOOKUP(G49,sf.V!$A$3:$K$124,10,FALSE),"")))</f>
        <v/>
      </c>
      <c r="Q49" s="36" t="n"/>
      <c r="R49" s="53" t="n"/>
      <c r="S49" s="25" t="n"/>
      <c r="T49" s="55">
        <f>IF(G49&lt;&gt;"",VLOOKUP(G49,sf.V!$A$3:$K$124,11,FALSE),"")</f>
        <v/>
      </c>
      <c r="U49" s="51" t="n"/>
    </row>
    <row r="50" ht="18" customHeight="1">
      <c r="B50" s="25" t="n"/>
      <c r="C50" s="81" t="n">
        <v>35</v>
      </c>
      <c r="D50" s="86">
        <f>IF(G50&lt;&gt;"",VLOOKUP(G50,sf.V!$A$3:$K$124,3,FALSE),"")</f>
        <v/>
      </c>
      <c r="E50" s="82">
        <f>IF(G50&lt;&gt;"",VLOOKUP(G50,sf.V!$A$3:$K$124,2,FALSE),"")</f>
        <v/>
      </c>
      <c r="F50" s="175">
        <f>IF(G50&lt;&gt;"",VLOOKUP(G50,sf.V!$A$3:$K$124,5,FALSE),"")</f>
        <v/>
      </c>
      <c r="G50" s="176" t="n"/>
      <c r="H50" s="177" t="n"/>
      <c r="I50" s="117" t="n"/>
      <c r="J50" s="117" t="n"/>
      <c r="K50" s="169" t="n"/>
      <c r="L50" s="117" t="n"/>
      <c r="M50" s="169" t="n"/>
      <c r="N50" s="83" t="n"/>
      <c r="O50" s="87">
        <f>IF(G50&lt;&gt;"",VLOOKUP(G50,sf.V!$A$3:$K$124,6,FALSE)+N50,"")</f>
        <v/>
      </c>
      <c r="P50" s="88">
        <f>IF(G50="","",IF(O50&lt;T50,VLOOKUP(G50,sf.V!$A$3:$K$124,9,FALSE),IF(O50&gt;=T50,VLOOKUP(G50,sf.V!$A$3:$K$124,10,FALSE),"")))</f>
        <v/>
      </c>
      <c r="Q50" s="36" t="n"/>
      <c r="R50" s="53" t="n"/>
      <c r="S50" s="25" t="n"/>
      <c r="T50" s="55">
        <f>IF(G50&lt;&gt;"",VLOOKUP(G50,sf.V!$A$3:$K$124,11,FALSE),"")</f>
        <v/>
      </c>
      <c r="U50" s="51" t="n"/>
    </row>
    <row r="51" ht="18" customHeight="1">
      <c r="B51" s="25" t="n"/>
      <c r="C51" s="63" t="n">
        <v>36</v>
      </c>
      <c r="D51" s="86">
        <f>IF(G51&lt;&gt;"",VLOOKUP(G51,sf.V!$A$3:$K$124,3,FALSE),"")</f>
        <v/>
      </c>
      <c r="E51" s="82">
        <f>IF(G51&lt;&gt;"",VLOOKUP(G51,sf.V!$A$3:$K$124,2,FALSE),"")</f>
        <v/>
      </c>
      <c r="F51" s="175">
        <f>IF(G51&lt;&gt;"",VLOOKUP(G51,sf.V!$A$3:$K$124,5,FALSE),"")</f>
        <v/>
      </c>
      <c r="G51" s="176" t="n"/>
      <c r="H51" s="177" t="n"/>
      <c r="I51" s="117" t="n"/>
      <c r="J51" s="117" t="n"/>
      <c r="K51" s="169" t="n"/>
      <c r="L51" s="117" t="n"/>
      <c r="M51" s="169" t="n"/>
      <c r="N51" s="83" t="n"/>
      <c r="O51" s="87">
        <f>IF(G51&lt;&gt;"",VLOOKUP(G51,sf.V!$A$3:$K$124,6,FALSE)+N51,"")</f>
        <v/>
      </c>
      <c r="P51" s="88">
        <f>IF(G51="","",IF(O51&lt;T51,VLOOKUP(G51,sf.V!$A$3:$K$124,9,FALSE),IF(O51&gt;=T51,VLOOKUP(G51,sf.V!$A$3:$K$124,10,FALSE),"")))</f>
        <v/>
      </c>
      <c r="Q51" s="36" t="n"/>
      <c r="R51" s="53" t="n"/>
      <c r="S51" s="25" t="n"/>
      <c r="T51" s="55">
        <f>IF(G51&lt;&gt;"",VLOOKUP(G51,sf.V!$A$3:$K$124,11,FALSE),"")</f>
        <v/>
      </c>
      <c r="U51" s="51" t="n"/>
    </row>
    <row r="52" ht="18" customHeight="1">
      <c r="B52" s="25" t="n"/>
      <c r="C52" s="81" t="n">
        <v>37</v>
      </c>
      <c r="D52" s="86">
        <f>IF(G52&lt;&gt;"",VLOOKUP(G52,sf.V!$A$3:$K$124,3,FALSE),"")</f>
        <v/>
      </c>
      <c r="E52" s="82">
        <f>IF(G52&lt;&gt;"",VLOOKUP(G52,sf.V!$A$3:$K$124,2,FALSE),"")</f>
        <v/>
      </c>
      <c r="F52" s="175">
        <f>IF(G52&lt;&gt;"",VLOOKUP(G52,sf.V!$A$3:$K$124,5,FALSE),"")</f>
        <v/>
      </c>
      <c r="G52" s="176" t="n"/>
      <c r="H52" s="177" t="n"/>
      <c r="I52" s="117" t="n"/>
      <c r="J52" s="117" t="n"/>
      <c r="K52" s="169" t="n"/>
      <c r="L52" s="117" t="n"/>
      <c r="M52" s="169" t="n"/>
      <c r="N52" s="83" t="n"/>
      <c r="O52" s="87">
        <f>IF(G52&lt;&gt;"",VLOOKUP(G52,sf.V!$A$3:$K$124,6,FALSE)+N52,"")</f>
        <v/>
      </c>
      <c r="P52" s="88">
        <f>IF(G52="","",IF(O52&lt;T52,VLOOKUP(G52,sf.V!$A$3:$K$124,9,FALSE),IF(O52&gt;=T52,VLOOKUP(G52,sf.V!$A$3:$K$124,10,FALSE),"")))</f>
        <v/>
      </c>
      <c r="Q52" s="36" t="n"/>
      <c r="R52" s="53" t="n"/>
      <c r="S52" s="25" t="n"/>
      <c r="T52" s="55">
        <f>IF(G52&lt;&gt;"",VLOOKUP(G52,sf.V!$A$3:$K$124,11,FALSE),"")</f>
        <v/>
      </c>
      <c r="U52" s="51" t="n"/>
    </row>
    <row r="53" ht="18" customHeight="1">
      <c r="B53" s="25" t="n"/>
      <c r="C53" s="63" t="n">
        <v>38</v>
      </c>
      <c r="D53" s="86">
        <f>IF(G53&lt;&gt;"",VLOOKUP(G53,sf.V!$A$3:$K$124,3,FALSE),"")</f>
        <v/>
      </c>
      <c r="E53" s="82">
        <f>IF(G53&lt;&gt;"",VLOOKUP(G53,sf.V!$A$3:$K$124,2,FALSE),"")</f>
        <v/>
      </c>
      <c r="F53" s="175">
        <f>IF(G53&lt;&gt;"",VLOOKUP(G53,sf.V!$A$3:$K$124,5,FALSE),"")</f>
        <v/>
      </c>
      <c r="G53" s="176" t="n"/>
      <c r="H53" s="177" t="n"/>
      <c r="I53" s="117" t="n"/>
      <c r="J53" s="117" t="n"/>
      <c r="K53" s="169" t="n"/>
      <c r="L53" s="117" t="n"/>
      <c r="M53" s="169" t="n"/>
      <c r="N53" s="83" t="n"/>
      <c r="O53" s="87">
        <f>IF(G53&lt;&gt;"",VLOOKUP(G53,sf.V!$A$3:$K$124,6,FALSE)+N53,"")</f>
        <v/>
      </c>
      <c r="P53" s="88">
        <f>IF(G53="","",IF(O53&lt;T53,VLOOKUP(G53,sf.V!$A$3:$K$124,9,FALSE),IF(O53&gt;=T53,VLOOKUP(G53,sf.V!$A$3:$K$124,10,FALSE),"")))</f>
        <v/>
      </c>
      <c r="Q53" s="36" t="n"/>
      <c r="R53" s="53" t="n"/>
      <c r="S53" s="25" t="n"/>
      <c r="T53" s="55">
        <f>IF(G53&lt;&gt;"",VLOOKUP(G53,sf.V!$A$3:$K$124,11,FALSE),"")</f>
        <v/>
      </c>
      <c r="U53" s="51" t="n"/>
    </row>
    <row r="54" ht="18" customHeight="1">
      <c r="B54" s="25" t="n"/>
      <c r="C54" s="81" t="n">
        <v>39</v>
      </c>
      <c r="D54" s="86">
        <f>IF(G54&lt;&gt;"",VLOOKUP(G54,sf.V!$A$3:$K$124,3,FALSE),"")</f>
        <v/>
      </c>
      <c r="E54" s="82">
        <f>IF(G54&lt;&gt;"",VLOOKUP(G54,sf.V!$A$3:$K$124,2,FALSE),"")</f>
        <v/>
      </c>
      <c r="F54" s="175">
        <f>IF(G54&lt;&gt;"",VLOOKUP(G54,sf.V!$A$3:$K$124,5,FALSE),"")</f>
        <v/>
      </c>
      <c r="G54" s="176" t="n"/>
      <c r="H54" s="177" t="n"/>
      <c r="I54" s="117" t="n"/>
      <c r="J54" s="117" t="n"/>
      <c r="K54" s="169" t="n"/>
      <c r="L54" s="117" t="n"/>
      <c r="M54" s="169" t="n"/>
      <c r="N54" s="83" t="n"/>
      <c r="O54" s="87">
        <f>IF(G54&lt;&gt;"",VLOOKUP(G54,sf.V!$A$3:$K$124,6,FALSE)+N54,"")</f>
        <v/>
      </c>
      <c r="P54" s="88">
        <f>IF(G54="","",IF(O54&lt;T54,VLOOKUP(G54,sf.V!$A$3:$K$124,9,FALSE),IF(O54&gt;=T54,VLOOKUP(G54,sf.V!$A$3:$K$124,10,FALSE),"")))</f>
        <v/>
      </c>
      <c r="Q54" s="36" t="n"/>
      <c r="R54" s="53" t="n"/>
      <c r="S54" s="25" t="n"/>
      <c r="T54" s="55">
        <f>IF(G54&lt;&gt;"",VLOOKUP(G54,sf.V!$A$3:$K$124,11,FALSE),"")</f>
        <v/>
      </c>
      <c r="U54" s="51" t="n"/>
    </row>
    <row r="55" ht="18" customHeight="1">
      <c r="B55" s="25" t="n"/>
      <c r="C55" s="63" t="n">
        <v>40</v>
      </c>
      <c r="D55" s="86">
        <f>IF(G55&lt;&gt;"",VLOOKUP(G55,sf.V!$A$3:$K$124,3,FALSE),"")</f>
        <v/>
      </c>
      <c r="E55" s="82">
        <f>IF(G55&lt;&gt;"",VLOOKUP(G55,sf.V!$A$3:$K$124,2,FALSE),"")</f>
        <v/>
      </c>
      <c r="F55" s="175">
        <f>IF(G55&lt;&gt;"",VLOOKUP(G55,sf.V!$A$3:$K$124,5,FALSE),"")</f>
        <v/>
      </c>
      <c r="G55" s="176" t="n"/>
      <c r="H55" s="177" t="n"/>
      <c r="I55" s="117" t="n"/>
      <c r="J55" s="117" t="n"/>
      <c r="K55" s="169" t="n"/>
      <c r="L55" s="117" t="n"/>
      <c r="M55" s="169" t="n"/>
      <c r="N55" s="83" t="n"/>
      <c r="O55" s="87">
        <f>IF(G55&lt;&gt;"",VLOOKUP(G55,sf.V!$A$3:$K$124,6,FALSE)+N55,"")</f>
        <v/>
      </c>
      <c r="P55" s="88">
        <f>IF(G55="","",IF(O55&lt;T55,VLOOKUP(G55,sf.V!$A$3:$K$124,9,FALSE),IF(O55&gt;=T55,VLOOKUP(G55,sf.V!$A$3:$K$124,10,FALSE),"")))</f>
        <v/>
      </c>
      <c r="Q55" s="36" t="n"/>
      <c r="R55" s="53" t="n"/>
      <c r="S55" s="25" t="n"/>
      <c r="T55" s="55">
        <f>IF(G55&lt;&gt;"",VLOOKUP(G55,sf.V!$A$3:$K$124,11,FALSE),"")</f>
        <v/>
      </c>
      <c r="U55" s="51" t="n"/>
    </row>
    <row r="56" ht="18" customHeight="1">
      <c r="B56" s="25" t="n"/>
      <c r="C56" s="81" t="n">
        <v>41</v>
      </c>
      <c r="D56" s="86">
        <f>IF(G56&lt;&gt;"",VLOOKUP(G56,sf.V!$A$3:$K$124,3,FALSE),"")</f>
        <v/>
      </c>
      <c r="E56" s="82">
        <f>IF(G56&lt;&gt;"",VLOOKUP(G56,sf.V!$A$3:$K$124,2,FALSE),"")</f>
        <v/>
      </c>
      <c r="F56" s="175">
        <f>IF(G56&lt;&gt;"",VLOOKUP(G56,sf.V!$A$3:$K$124,5,FALSE),"")</f>
        <v/>
      </c>
      <c r="G56" s="176" t="n"/>
      <c r="H56" s="177" t="n"/>
      <c r="I56" s="117" t="n"/>
      <c r="J56" s="117" t="n"/>
      <c r="K56" s="169" t="n"/>
      <c r="L56" s="117" t="n"/>
      <c r="M56" s="169" t="n"/>
      <c r="N56" s="83" t="n"/>
      <c r="O56" s="87">
        <f>IF(G56&lt;&gt;"",VLOOKUP(G56,sf.V!$A$3:$K$124,6,FALSE)+N56,"")</f>
        <v/>
      </c>
      <c r="P56" s="88">
        <f>IF(G56="","",IF(O56&lt;T56,VLOOKUP(G56,sf.V!$A$3:$K$124,9,FALSE),IF(O56&gt;=T56,VLOOKUP(G56,sf.V!$A$3:$K$124,10,FALSE),"")))</f>
        <v/>
      </c>
      <c r="Q56" s="36" t="n"/>
      <c r="R56" s="53" t="n"/>
      <c r="S56" s="25" t="n"/>
      <c r="T56" s="55">
        <f>IF(G56&lt;&gt;"",VLOOKUP(G56,sf.V!$A$3:$K$124,11,FALSE),"")</f>
        <v/>
      </c>
      <c r="U56" s="51" t="n"/>
    </row>
    <row r="57" ht="18" customHeight="1">
      <c r="B57" s="25" t="n"/>
      <c r="C57" s="63" t="n">
        <v>42</v>
      </c>
      <c r="D57" s="86">
        <f>IF(G57&lt;&gt;"",VLOOKUP(G57,sf.V!$A$3:$K$124,3,FALSE),"")</f>
        <v/>
      </c>
      <c r="E57" s="82">
        <f>IF(G57&lt;&gt;"",VLOOKUP(G57,sf.V!$A$3:$K$124,2,FALSE),"")</f>
        <v/>
      </c>
      <c r="F57" s="175">
        <f>IF(G57&lt;&gt;"",VLOOKUP(G57,sf.V!$A$3:$K$124,5,FALSE),"")</f>
        <v/>
      </c>
      <c r="G57" s="176" t="n"/>
      <c r="H57" s="177" t="n"/>
      <c r="I57" s="117" t="n"/>
      <c r="J57" s="117" t="n"/>
      <c r="K57" s="169" t="n"/>
      <c r="L57" s="117" t="n"/>
      <c r="M57" s="169" t="n"/>
      <c r="N57" s="83" t="n"/>
      <c r="O57" s="87">
        <f>IF(G57&lt;&gt;"",VLOOKUP(G57,sf.V!$A$3:$K$124,6,FALSE)+N57,"")</f>
        <v/>
      </c>
      <c r="P57" s="88">
        <f>IF(G57="","",IF(O57&lt;T57,VLOOKUP(G57,sf.V!$A$3:$K$124,9,FALSE),IF(O57&gt;=T57,VLOOKUP(G57,sf.V!$A$3:$K$124,10,FALSE),"")))</f>
        <v/>
      </c>
      <c r="Q57" s="36" t="n"/>
      <c r="R57" s="53" t="n"/>
      <c r="S57" s="25" t="n"/>
      <c r="T57" s="55">
        <f>IF(G57&lt;&gt;"",VLOOKUP(G57,sf.V!$A$3:$K$124,11,FALSE),"")</f>
        <v/>
      </c>
      <c r="U57" s="51" t="n"/>
    </row>
    <row r="58" ht="18" customHeight="1">
      <c r="B58" s="25" t="n"/>
      <c r="C58" s="81" t="n">
        <v>43</v>
      </c>
      <c r="D58" s="86">
        <f>IF(G58&lt;&gt;"",VLOOKUP(G58,sf.V!$A$3:$K$124,3,FALSE),"")</f>
        <v/>
      </c>
      <c r="E58" s="82">
        <f>IF(G58&lt;&gt;"",VLOOKUP(G58,sf.V!$A$3:$K$124,2,FALSE),"")</f>
        <v/>
      </c>
      <c r="F58" s="175">
        <f>IF(G58&lt;&gt;"",VLOOKUP(G58,sf.V!$A$3:$K$124,5,FALSE),"")</f>
        <v/>
      </c>
      <c r="G58" s="176" t="n"/>
      <c r="H58" s="177" t="n"/>
      <c r="I58" s="117" t="n"/>
      <c r="J58" s="117" t="n"/>
      <c r="K58" s="169" t="n"/>
      <c r="L58" s="117" t="n"/>
      <c r="M58" s="169" t="n"/>
      <c r="N58" s="83" t="n"/>
      <c r="O58" s="87">
        <f>IF(G58&lt;&gt;"",VLOOKUP(G58,sf.V!$A$3:$K$124,6,FALSE)+N58,"")</f>
        <v/>
      </c>
      <c r="P58" s="88">
        <f>IF(G58="","",IF(O58&lt;T58,VLOOKUP(G58,sf.V!$A$3:$K$124,9,FALSE),IF(O58&gt;=T58,VLOOKUP(G58,sf.V!$A$3:$K$124,10,FALSE),"")))</f>
        <v/>
      </c>
      <c r="Q58" s="36" t="n"/>
      <c r="R58" s="53" t="n"/>
      <c r="S58" s="25" t="n"/>
      <c r="T58" s="55">
        <f>IF(G58&lt;&gt;"",VLOOKUP(G58,sf.V!$A$3:$K$124,11,FALSE),"")</f>
        <v/>
      </c>
      <c r="U58" s="51" t="n"/>
    </row>
    <row r="59" ht="18" customHeight="1">
      <c r="B59" s="25" t="n"/>
      <c r="C59" s="63" t="n">
        <v>44</v>
      </c>
      <c r="D59" s="86">
        <f>IF(G59&lt;&gt;"",VLOOKUP(G59,sf.V!$A$3:$K$124,3,FALSE),"")</f>
        <v/>
      </c>
      <c r="E59" s="82">
        <f>IF(G59&lt;&gt;"",VLOOKUP(G59,sf.V!$A$3:$K$124,2,FALSE),"")</f>
        <v/>
      </c>
      <c r="F59" s="175">
        <f>IF(G59&lt;&gt;"",VLOOKUP(G59,sf.V!$A$3:$K$124,5,FALSE),"")</f>
        <v/>
      </c>
      <c r="G59" s="176" t="n"/>
      <c r="H59" s="177" t="n"/>
      <c r="I59" s="117" t="n"/>
      <c r="J59" s="117" t="n"/>
      <c r="K59" s="169" t="n"/>
      <c r="L59" s="117" t="n"/>
      <c r="M59" s="169" t="n"/>
      <c r="N59" s="83" t="n"/>
      <c r="O59" s="87">
        <f>IF(G59&lt;&gt;"",VLOOKUP(G59,sf.V!$A$3:$K$124,6,FALSE)+N59,"")</f>
        <v/>
      </c>
      <c r="P59" s="88">
        <f>IF(G59="","",IF(O59&lt;T59,VLOOKUP(G59,sf.V!$A$3:$K$124,9,FALSE),IF(O59&gt;=T59,VLOOKUP(G59,sf.V!$A$3:$K$124,10,FALSE),"")))</f>
        <v/>
      </c>
      <c r="Q59" s="36" t="n"/>
      <c r="R59" s="53" t="n"/>
      <c r="S59" s="25" t="n"/>
      <c r="T59" s="55">
        <f>IF(G59&lt;&gt;"",VLOOKUP(G59,sf.V!$A$3:$K$124,11,FALSE),"")</f>
        <v/>
      </c>
      <c r="U59" s="51" t="n"/>
    </row>
    <row r="60" ht="18" customHeight="1">
      <c r="B60" s="25" t="n"/>
      <c r="C60" s="81" t="n">
        <v>45</v>
      </c>
      <c r="D60" s="86">
        <f>IF(G60&lt;&gt;"",VLOOKUP(G60,sf.V!$A$3:$K$124,3,FALSE),"")</f>
        <v/>
      </c>
      <c r="E60" s="82">
        <f>IF(G60&lt;&gt;"",VLOOKUP(G60,sf.V!$A$3:$K$124,2,FALSE),"")</f>
        <v/>
      </c>
      <c r="F60" s="175">
        <f>IF(G60&lt;&gt;"",VLOOKUP(G60,sf.V!$A$3:$K$124,5,FALSE),"")</f>
        <v/>
      </c>
      <c r="G60" s="176" t="n"/>
      <c r="H60" s="177" t="n"/>
      <c r="I60" s="117" t="n"/>
      <c r="J60" s="117" t="n"/>
      <c r="K60" s="169" t="n"/>
      <c r="L60" s="117" t="n"/>
      <c r="M60" s="169" t="n"/>
      <c r="N60" s="83" t="n"/>
      <c r="O60" s="87">
        <f>IF(G60&lt;&gt;"",VLOOKUP(G60,sf.V!$A$3:$K$124,6,FALSE)+N60,"")</f>
        <v/>
      </c>
      <c r="P60" s="88">
        <f>IF(G60="","",IF(O60&lt;T60,VLOOKUP(G60,sf.V!$A$3:$K$124,9,FALSE),IF(O60&gt;=T60,VLOOKUP(G60,sf.V!$A$3:$K$124,10,FALSE),"")))</f>
        <v/>
      </c>
      <c r="Q60" s="36" t="n"/>
      <c r="R60" s="53" t="n"/>
      <c r="S60" s="25" t="n"/>
      <c r="T60" s="55">
        <f>IF(G60&lt;&gt;"",VLOOKUP(G60,sf.V!$A$3:$K$124,11,FALSE),"")</f>
        <v/>
      </c>
      <c r="U60" s="51" t="n"/>
    </row>
    <row r="61" ht="18" customHeight="1">
      <c r="B61" s="25" t="n"/>
      <c r="C61" s="63" t="n">
        <v>46</v>
      </c>
      <c r="D61" s="86">
        <f>IF(G61&lt;&gt;"",VLOOKUP(G61,sf.V!$A$3:$K$124,3,FALSE),"")</f>
        <v/>
      </c>
      <c r="E61" s="82">
        <f>IF(G61&lt;&gt;"",VLOOKUP(G61,sf.V!$A$3:$K$124,2,FALSE),"")</f>
        <v/>
      </c>
      <c r="F61" s="175">
        <f>IF(G61&lt;&gt;"",VLOOKUP(G61,sf.V!$A$3:$K$124,5,FALSE),"")</f>
        <v/>
      </c>
      <c r="G61" s="176" t="n"/>
      <c r="H61" s="177" t="n"/>
      <c r="I61" s="117" t="n"/>
      <c r="J61" s="117" t="n"/>
      <c r="K61" s="169" t="n"/>
      <c r="L61" s="117" t="n"/>
      <c r="M61" s="169" t="n"/>
      <c r="N61" s="83" t="n"/>
      <c r="O61" s="87">
        <f>IF(G61&lt;&gt;"",VLOOKUP(G61,sf.V!$A$3:$K$124,6,FALSE)+N61,"")</f>
        <v/>
      </c>
      <c r="P61" s="88">
        <f>IF(G61="","",IF(O61&lt;T61,VLOOKUP(G61,sf.V!$A$3:$K$124,9,FALSE),IF(O61&gt;=T61,VLOOKUP(G61,sf.V!$A$3:$K$124,10,FALSE),"")))</f>
        <v/>
      </c>
      <c r="Q61" s="36" t="n"/>
      <c r="R61" s="53" t="n"/>
      <c r="S61" s="25" t="n"/>
      <c r="T61" s="55">
        <f>IF(G61&lt;&gt;"",VLOOKUP(G61,sf.V!$A$3:$K$124,11,FALSE),"")</f>
        <v/>
      </c>
      <c r="U61" s="51" t="n"/>
    </row>
    <row r="62" ht="18" customHeight="1">
      <c r="B62" s="25" t="n"/>
      <c r="C62" s="81" t="n">
        <v>47</v>
      </c>
      <c r="D62" s="86">
        <f>IF(G62&lt;&gt;"",VLOOKUP(G62,sf.V!$A$3:$K$124,3,FALSE),"")</f>
        <v/>
      </c>
      <c r="E62" s="82">
        <f>IF(G62&lt;&gt;"",VLOOKUP(G62,sf.V!$A$3:$K$124,2,FALSE),"")</f>
        <v/>
      </c>
      <c r="F62" s="175">
        <f>IF(G62&lt;&gt;"",VLOOKUP(G62,sf.V!$A$3:$K$124,5,FALSE),"")</f>
        <v/>
      </c>
      <c r="G62" s="176" t="n"/>
      <c r="H62" s="177" t="n"/>
      <c r="I62" s="117" t="n"/>
      <c r="J62" s="117" t="n"/>
      <c r="K62" s="169" t="n"/>
      <c r="L62" s="117" t="n"/>
      <c r="M62" s="169" t="n"/>
      <c r="N62" s="83" t="n"/>
      <c r="O62" s="87">
        <f>IF(G62&lt;&gt;"",VLOOKUP(G62,sf.V!$A$3:$K$124,6,FALSE)+N62,"")</f>
        <v/>
      </c>
      <c r="P62" s="88">
        <f>IF(G62="","",IF(O62&lt;T62,VLOOKUP(G62,sf.V!$A$3:$K$124,9,FALSE),IF(O62&gt;=T62,VLOOKUP(G62,sf.V!$A$3:$K$124,10,FALSE),"")))</f>
        <v/>
      </c>
      <c r="Q62" s="36" t="n"/>
      <c r="R62" s="53" t="n"/>
      <c r="S62" s="25" t="n"/>
      <c r="T62" s="55">
        <f>IF(G62&lt;&gt;"",VLOOKUP(G62,sf.V!$A$3:$K$124,11,FALSE),"")</f>
        <v/>
      </c>
      <c r="U62" s="51" t="n"/>
    </row>
    <row r="63" ht="18" customHeight="1">
      <c r="B63" s="25" t="n"/>
      <c r="C63" s="63" t="n">
        <v>48</v>
      </c>
      <c r="D63" s="86">
        <f>IF(G63&lt;&gt;"",VLOOKUP(G63,sf.V!$A$3:$K$124,3,FALSE),"")</f>
        <v/>
      </c>
      <c r="E63" s="82">
        <f>IF(G63&lt;&gt;"",VLOOKUP(G63,sf.V!$A$3:$K$124,2,FALSE),"")</f>
        <v/>
      </c>
      <c r="F63" s="175">
        <f>IF(G63&lt;&gt;"",VLOOKUP(G63,sf.V!$A$3:$K$124,5,FALSE),"")</f>
        <v/>
      </c>
      <c r="G63" s="176" t="n"/>
      <c r="H63" s="177" t="n"/>
      <c r="I63" s="117" t="n"/>
      <c r="J63" s="117" t="n"/>
      <c r="K63" s="169" t="n"/>
      <c r="L63" s="117" t="n"/>
      <c r="M63" s="169" t="n"/>
      <c r="N63" s="83" t="n"/>
      <c r="O63" s="87">
        <f>IF(G63&lt;&gt;"",VLOOKUP(G63,sf.V!$A$3:$K$124,6,FALSE)+N63,"")</f>
        <v/>
      </c>
      <c r="P63" s="88">
        <f>IF(G63="","",IF(O63&lt;T63,VLOOKUP(G63,sf.V!$A$3:$K$124,9,FALSE),IF(O63&gt;=T63,VLOOKUP(G63,sf.V!$A$3:$K$124,10,FALSE),"")))</f>
        <v/>
      </c>
      <c r="Q63" s="36" t="n"/>
      <c r="R63" s="53" t="n"/>
      <c r="S63" s="25" t="n"/>
      <c r="T63" s="55">
        <f>IF(G63&lt;&gt;"",VLOOKUP(G63,sf.V!$A$3:$K$124,11,FALSE),"")</f>
        <v/>
      </c>
      <c r="U63" s="51" t="n"/>
    </row>
    <row r="64" ht="18" customHeight="1">
      <c r="B64" s="25" t="n"/>
      <c r="C64" s="81" t="n">
        <v>49</v>
      </c>
      <c r="D64" s="89">
        <f>IF(G64&lt;&gt;"",VLOOKUP(G64,sf.V!$A$3:$K$124,3,FALSE),"")</f>
        <v/>
      </c>
      <c r="E64" s="90">
        <f>IF(G64&lt;&gt;"",VLOOKUP(G64,sf.V!$A$3:$K$124,2,FALSE),"")</f>
        <v/>
      </c>
      <c r="F64" s="178">
        <f>IF(G64&lt;&gt;"",VLOOKUP(G64,sf.V!$A$3:$K$124,5,FALSE),"")</f>
        <v/>
      </c>
      <c r="G64" s="176" t="n"/>
      <c r="H64" s="177" t="n"/>
      <c r="I64" s="117" t="n"/>
      <c r="J64" s="117" t="n"/>
      <c r="K64" s="169" t="n"/>
      <c r="L64" s="117" t="n"/>
      <c r="M64" s="169" t="n"/>
      <c r="N64" s="91" t="n"/>
      <c r="O64" s="87">
        <f>IF(G64&lt;&gt;"",VLOOKUP(G64,sf.V!$A$3:$K$124,6,FALSE)+N64,"")</f>
        <v/>
      </c>
      <c r="P64" s="92">
        <f>IF(G64="","",IF(O64&lt;T64,VLOOKUP(G64,sf.V!$A$3:$K$124,9,FALSE),IF(O64&gt;=T64,VLOOKUP(G64,sf.V!$A$3:$K$124,10,FALSE),"")))</f>
        <v/>
      </c>
      <c r="Q64" s="37" t="n"/>
      <c r="R64" s="54" t="n"/>
      <c r="S64" s="25" t="n"/>
      <c r="T64" s="55">
        <f>IF(G64&lt;&gt;"",VLOOKUP(G64,sf.V!$A$3:$K$124,11,FALSE),"")</f>
        <v/>
      </c>
      <c r="U64" s="51" t="n"/>
    </row>
    <row r="65" ht="18.75" customHeight="1">
      <c r="B65" s="25" t="n"/>
      <c r="C65" s="70" t="inlineStr">
        <is>
          <t>AÇIKLAMALAR</t>
        </is>
      </c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9" t="n"/>
      <c r="S65" s="25" t="n"/>
      <c r="T65" s="51" t="n"/>
      <c r="U65" s="51" t="n"/>
    </row>
    <row r="66" ht="15" customHeight="1">
      <c r="B66" s="25" t="n"/>
      <c r="C66" s="71" t="inlineStr">
        <is>
          <t xml:space="preserve">a)Tren dizisinde "Parlayıcı madde yüklü vagon vardır/yoktur.  </t>
        </is>
      </c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1" t="n"/>
      <c r="S66" s="25" t="n"/>
    </row>
    <row r="67" ht="15" customHeight="1">
      <c r="B67" s="25" t="n"/>
      <c r="C67" s="71" t="inlineStr">
        <is>
          <t xml:space="preserve">(Varsa) Dizinin </t>
        </is>
      </c>
      <c r="D67" s="40" t="n"/>
      <c r="E67" s="40" t="n"/>
      <c r="F67" s="40" t="n"/>
      <c r="G67" s="40" t="n"/>
      <c r="H67" s="40" t="n"/>
      <c r="I67" s="40" t="n"/>
      <c r="J67" s="42" t="inlineStr">
        <is>
          <t>sırasındaki vagonlardır.</t>
        </is>
      </c>
      <c r="K67" s="40" t="n"/>
      <c r="L67" s="40" t="n"/>
      <c r="M67" s="40" t="n"/>
      <c r="N67" s="40" t="n"/>
      <c r="O67" s="40" t="n"/>
      <c r="P67" s="40" t="n"/>
      <c r="Q67" s="40" t="n"/>
      <c r="R67" s="41" t="n"/>
      <c r="S67" s="25" t="n"/>
    </row>
    <row r="68" ht="15" customHeight="1">
      <c r="B68" s="25" t="n"/>
      <c r="C68" s="71" t="inlineStr">
        <is>
          <t xml:space="preserve">b)Tren dizisinde "Patlayıcı madde yüklü vagon vardır/yoktur.  </t>
        </is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1" t="n"/>
      <c r="S68" s="25" t="n"/>
    </row>
    <row r="69" ht="15" customHeight="1">
      <c r="B69" s="25" t="n"/>
      <c r="C69" s="71" t="inlineStr">
        <is>
          <t xml:space="preserve">(Varsa) Dizinin </t>
        </is>
      </c>
      <c r="D69" s="40" t="n"/>
      <c r="E69" s="40" t="n"/>
      <c r="F69" s="40" t="n"/>
      <c r="G69" s="40" t="n"/>
      <c r="H69" s="40" t="n"/>
      <c r="I69" s="40" t="n"/>
      <c r="J69" s="42" t="inlineStr">
        <is>
          <t>sırasındaki vagonlardır.</t>
        </is>
      </c>
      <c r="K69" s="40" t="n"/>
      <c r="L69" s="40" t="n"/>
      <c r="M69" s="40" t="n"/>
      <c r="N69" s="40" t="n"/>
      <c r="O69" s="40" t="n"/>
      <c r="P69" s="40" t="n"/>
      <c r="Q69" s="40" t="n"/>
      <c r="R69" s="41" t="n"/>
      <c r="S69" s="25" t="n"/>
    </row>
    <row r="70" ht="15" customHeight="1">
      <c r="B70" s="25" t="n"/>
      <c r="C70" s="71" t="inlineStr">
        <is>
          <t>c)Trende seyir kısıtlaması gerektiren bir husus yoktur./vardır.</t>
        </is>
      </c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1" t="n"/>
      <c r="S70" s="25" t="n"/>
    </row>
    <row r="71" ht="15" customHeight="1">
      <c r="B71" s="25" t="n"/>
      <c r="C71" s="71" t="inlineStr">
        <is>
          <t>(Varsa) Açıklama: ………………………………………………………………………………………..</t>
        </is>
      </c>
      <c r="D71" s="40" t="n"/>
      <c r="E71" s="40" t="n"/>
      <c r="F71" s="42" t="inlineStr">
        <is>
          <t>…………………………………………………………………………………………</t>
        </is>
      </c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1" t="n"/>
      <c r="S71" s="25" t="n"/>
    </row>
    <row r="72" ht="18.75" customHeight="1">
      <c r="B72" s="25" t="n"/>
      <c r="C72" s="73" t="inlineStr">
        <is>
          <t>TREN, TÜM ULUSAL VE ULUSLAR ARASI MEVZUATA UYGUN OLARAK ARAÇ VE ALTYAPI DEĞERLERİ DİKKATE ALINARAK TEŞKİL EDİLMİŞTİR.</t>
        </is>
      </c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1" t="n"/>
      <c r="S72" s="25" t="n"/>
    </row>
    <row r="73" ht="18.75" customHeight="1">
      <c r="B73" s="25" t="n"/>
      <c r="C73" s="71" t="inlineStr">
        <is>
          <t>Bu form</t>
        </is>
      </c>
      <c r="D73" s="40" t="n"/>
      <c r="E73" s="105" t="n"/>
      <c r="F73" s="72" t="inlineStr">
        <is>
          <t xml:space="preserve">nolu trenin sevki için </t>
        </is>
      </c>
      <c r="G73" s="40" t="n"/>
      <c r="H73" s="40" t="n"/>
      <c r="I73" s="79" t="n"/>
      <c r="J73" s="72" t="inlineStr">
        <is>
          <t>istasyonuna teslim edilmiştir.</t>
        </is>
      </c>
      <c r="K73" s="40" t="n"/>
      <c r="L73" s="40" t="n"/>
      <c r="M73" s="40" t="n"/>
      <c r="N73" s="40" t="n"/>
      <c r="O73" s="40" t="n"/>
      <c r="P73" s="40" t="n"/>
      <c r="Q73" s="40" t="n"/>
      <c r="R73" s="41" t="n"/>
      <c r="S73" s="25" t="n"/>
    </row>
    <row r="74" ht="15" customHeight="1">
      <c r="B74" s="25" t="n"/>
      <c r="C74" s="43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7" t="n"/>
      <c r="O74" s="116" t="inlineStr">
        <is>
          <t>DTİ YETKİLİSİ</t>
        </is>
      </c>
      <c r="R74" s="44" t="n"/>
      <c r="S74" s="25" t="n"/>
    </row>
    <row r="75" ht="18.75" customHeight="1">
      <c r="B75" s="25" t="n"/>
      <c r="C75" s="45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170" t="n"/>
      <c r="N75" s="171" t="n"/>
      <c r="O75" s="172" t="n"/>
      <c r="P75" s="93" t="n"/>
      <c r="Q75" s="60" t="n"/>
      <c r="R75" s="61" t="n"/>
      <c r="S75" s="25" t="n"/>
    </row>
    <row r="76" ht="3" customHeight="1">
      <c r="B76" s="25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25" t="n"/>
    </row>
  </sheetData>
  <mergeCells count="133">
    <mergeCell ref="L17:M17"/>
    <mergeCell ref="J10:K10"/>
    <mergeCell ref="J19:K19"/>
    <mergeCell ref="L19:M19"/>
    <mergeCell ref="J28:K28"/>
    <mergeCell ref="J59:K59"/>
    <mergeCell ref="L53:M53"/>
    <mergeCell ref="N75:O75"/>
    <mergeCell ref="L28:M28"/>
    <mergeCell ref="J60:K60"/>
    <mergeCell ref="J9:K9"/>
    <mergeCell ref="R12:R13"/>
    <mergeCell ref="J53:K53"/>
    <mergeCell ref="C3:R3"/>
    <mergeCell ref="I8:K8"/>
    <mergeCell ref="C6:F6"/>
    <mergeCell ref="J45:K45"/>
    <mergeCell ref="L39:M39"/>
    <mergeCell ref="J5:K6"/>
    <mergeCell ref="L45:M45"/>
    <mergeCell ref="L11:N11"/>
    <mergeCell ref="L29:M29"/>
    <mergeCell ref="C14:R14"/>
    <mergeCell ref="L38:M38"/>
    <mergeCell ref="J31:K31"/>
    <mergeCell ref="C10:F10"/>
    <mergeCell ref="L31:M31"/>
    <mergeCell ref="L40:M40"/>
    <mergeCell ref="J21:K21"/>
    <mergeCell ref="L21:M21"/>
    <mergeCell ref="O9:O10"/>
    <mergeCell ref="J62:K62"/>
    <mergeCell ref="F12:H12"/>
    <mergeCell ref="J23:K23"/>
    <mergeCell ref="J58:K58"/>
    <mergeCell ref="J64:K64"/>
    <mergeCell ref="L16:M16"/>
    <mergeCell ref="L8:N8"/>
    <mergeCell ref="J57:K57"/>
    <mergeCell ref="L57:M57"/>
    <mergeCell ref="C12:E12"/>
    <mergeCell ref="J34:K34"/>
    <mergeCell ref="L42:M42"/>
    <mergeCell ref="J49:K49"/>
    <mergeCell ref="J27:K27"/>
    <mergeCell ref="C5:F5"/>
    <mergeCell ref="J36:K36"/>
    <mergeCell ref="L30:M30"/>
    <mergeCell ref="J20:K20"/>
    <mergeCell ref="C13:E13"/>
    <mergeCell ref="L20:M20"/>
    <mergeCell ref="J22:K22"/>
    <mergeCell ref="L44:M44"/>
    <mergeCell ref="L22:M22"/>
    <mergeCell ref="L59:M59"/>
    <mergeCell ref="J46:K46"/>
    <mergeCell ref="L46:M46"/>
    <mergeCell ref="J51:K51"/>
    <mergeCell ref="J61:K61"/>
    <mergeCell ref="G9:H9"/>
    <mergeCell ref="L61:M61"/>
    <mergeCell ref="J48:K48"/>
    <mergeCell ref="L48:M48"/>
    <mergeCell ref="J29:K29"/>
    <mergeCell ref="J38:K38"/>
    <mergeCell ref="L32:M32"/>
    <mergeCell ref="L47:M47"/>
    <mergeCell ref="J40:K40"/>
    <mergeCell ref="L43:M43"/>
    <mergeCell ref="F13:H13"/>
    <mergeCell ref="J24:K24"/>
    <mergeCell ref="Q5:R5"/>
    <mergeCell ref="L24:M24"/>
    <mergeCell ref="L18:M18"/>
    <mergeCell ref="L33:M33"/>
    <mergeCell ref="C8:H8"/>
    <mergeCell ref="J26:K26"/>
    <mergeCell ref="L26:M26"/>
    <mergeCell ref="J35:K35"/>
    <mergeCell ref="L35:M35"/>
    <mergeCell ref="L58:M58"/>
    <mergeCell ref="J16:K16"/>
    <mergeCell ref="G15:H15"/>
    <mergeCell ref="Q6:R6"/>
    <mergeCell ref="O11:O12"/>
    <mergeCell ref="J25:K25"/>
    <mergeCell ref="L50:M50"/>
    <mergeCell ref="L25:M25"/>
    <mergeCell ref="L60:M60"/>
    <mergeCell ref="R9:R10"/>
    <mergeCell ref="L52:M52"/>
    <mergeCell ref="J50:K50"/>
    <mergeCell ref="J42:K42"/>
    <mergeCell ref="C11:I11"/>
    <mergeCell ref="J52:K52"/>
    <mergeCell ref="J39:K39"/>
    <mergeCell ref="J44:K44"/>
    <mergeCell ref="J37:K37"/>
    <mergeCell ref="L37:M37"/>
    <mergeCell ref="O74:Q74"/>
    <mergeCell ref="J30:K30"/>
    <mergeCell ref="G10:H10"/>
    <mergeCell ref="J15:K15"/>
    <mergeCell ref="L62:M62"/>
    <mergeCell ref="L15:M15"/>
    <mergeCell ref="G6:H6"/>
    <mergeCell ref="L23:M23"/>
    <mergeCell ref="J55:K55"/>
    <mergeCell ref="I5:I6"/>
    <mergeCell ref="L55:M55"/>
    <mergeCell ref="L64:M64"/>
    <mergeCell ref="L51:M51"/>
    <mergeCell ref="J54:K54"/>
    <mergeCell ref="J32:K32"/>
    <mergeCell ref="L54:M54"/>
    <mergeCell ref="J63:K63"/>
    <mergeCell ref="J41:K41"/>
    <mergeCell ref="L63:M63"/>
    <mergeCell ref="L41:M41"/>
    <mergeCell ref="J47:K47"/>
    <mergeCell ref="J56:K56"/>
    <mergeCell ref="C9:F9"/>
    <mergeCell ref="P9:Q10"/>
    <mergeCell ref="L34:M34"/>
    <mergeCell ref="J43:K43"/>
    <mergeCell ref="L56:M56"/>
    <mergeCell ref="J18:K18"/>
    <mergeCell ref="J33:K33"/>
    <mergeCell ref="L49:M49"/>
    <mergeCell ref="L27:M27"/>
    <mergeCell ref="P11:Q12"/>
    <mergeCell ref="L36:M36"/>
    <mergeCell ref="J17:K17"/>
  </mergeCells>
  <conditionalFormatting sqref="K13:L13 N13">
    <cfRule type="cellIs" priority="214" operator="equal" dxfId="0" stopIfTrue="1">
      <formula>0</formula>
    </cfRule>
  </conditionalFormatting>
  <conditionalFormatting sqref="I16:I64 I16:J16 J17:J18">
    <cfRule type="expression" priority="342" dxfId="14" stopIfTrue="1">
      <formula>#REF!="s"</formula>
    </cfRule>
    <cfRule type="expression" priority="360" dxfId="3" stopIfTrue="1">
      <formula>$CS$20="s"</formula>
    </cfRule>
    <cfRule type="expression" priority="364" dxfId="3" stopIfTrue="1">
      <formula>$CS$24="s"</formula>
    </cfRule>
    <cfRule type="expression" priority="368" dxfId="3" stopIfTrue="1">
      <formula>$CS$37="s"</formula>
    </cfRule>
    <cfRule type="expression" priority="369" dxfId="3" stopIfTrue="1">
      <formula>$CS$38="s"</formula>
    </cfRule>
    <cfRule type="expression" priority="370" dxfId="3" stopIfTrue="1">
      <formula>$CS$39="s"</formula>
    </cfRule>
    <cfRule type="expression" priority="375" dxfId="3" stopIfTrue="1">
      <formula>$CS$44="s"</formula>
    </cfRule>
    <cfRule type="expression" priority="376" dxfId="3" stopIfTrue="1">
      <formula>$CS$50="s"</formula>
    </cfRule>
    <cfRule type="expression" priority="378" dxfId="3" stopIfTrue="1">
      <formula>$CS$57="s"</formula>
    </cfRule>
    <cfRule type="expression" priority="379" dxfId="3" stopIfTrue="1">
      <formula>$CS$58="s"</formula>
    </cfRule>
    <cfRule type="expression" priority="381" dxfId="3" stopIfTrue="1">
      <formula>$CS$66="s"</formula>
    </cfRule>
    <cfRule type="expression" priority="382" dxfId="3" stopIfTrue="1">
      <formula>$CM$25="s"</formula>
    </cfRule>
    <cfRule type="expression" priority="383" dxfId="3" stopIfTrue="1">
      <formula>#REF!="s"</formula>
    </cfRule>
    <cfRule type="expression" priority="384" dxfId="3" stopIfTrue="1">
      <formula>$CM$58="s"</formula>
    </cfRule>
    <cfRule type="expression" priority="387" dxfId="3" stopIfTrue="1">
      <formula>#REF!="s"</formula>
    </cfRule>
    <cfRule type="expression" priority="397" dxfId="3" stopIfTrue="1">
      <formula>#REF!="s"</formula>
    </cfRule>
  </conditionalFormatting>
  <conditionalFormatting sqref="I16:I35 I16:J16 J17:J18">
    <cfRule type="expression" priority="343" dxfId="3" stopIfTrue="1">
      <formula>#REF!="s"</formula>
    </cfRule>
  </conditionalFormatting>
  <conditionalFormatting sqref="I16:J16 I35 J17:J18">
    <cfRule type="expression" priority="344" dxfId="3" stopIfTrue="1">
      <formula>#REF!="s"</formula>
    </cfRule>
    <cfRule type="expression" priority="345" dxfId="3" stopIfTrue="1">
      <formula>#REF!="s"</formula>
    </cfRule>
    <cfRule type="expression" priority="346" dxfId="3" stopIfTrue="1">
      <formula>#REF!="s"</formula>
    </cfRule>
    <cfRule type="expression" priority="347" dxfId="3" stopIfTrue="1">
      <formula>#REF!="s"</formula>
    </cfRule>
    <cfRule type="expression" priority="348" dxfId="3" stopIfTrue="1">
      <formula>#REF!="s"</formula>
    </cfRule>
    <cfRule type="expression" priority="349" dxfId="3" stopIfTrue="1">
      <formula>#REF!="s"</formula>
    </cfRule>
    <cfRule type="expression" priority="350" dxfId="3" stopIfTrue="1">
      <formula>#REF!="s"</formula>
    </cfRule>
    <cfRule type="expression" priority="351" dxfId="3" stopIfTrue="1">
      <formula>#REF!="s"</formula>
    </cfRule>
    <cfRule type="expression" priority="352" dxfId="3" stopIfTrue="1">
      <formula>#REF!="s"</formula>
    </cfRule>
    <cfRule type="expression" priority="353" dxfId="3" stopIfTrue="1">
      <formula>#REF!="s"</formula>
    </cfRule>
    <cfRule type="expression" priority="354" dxfId="3" stopIfTrue="1">
      <formula>#REF!="s"</formula>
    </cfRule>
    <cfRule type="expression" priority="355" dxfId="3" stopIfTrue="1">
      <formula>#REF!="s"</formula>
    </cfRule>
    <cfRule type="expression" priority="356" dxfId="3" stopIfTrue="1">
      <formula>#REF!="s"</formula>
    </cfRule>
    <cfRule type="expression" priority="388" dxfId="3" stopIfTrue="1">
      <formula>#REF!="s"</formula>
    </cfRule>
  </conditionalFormatting>
  <conditionalFormatting sqref="I63:I64">
    <cfRule type="expression" priority="325" dxfId="3" stopIfTrue="1">
      <formula>#REF!="s"</formula>
    </cfRule>
    <cfRule type="expression" priority="326" dxfId="3" stopIfTrue="1">
      <formula>#REF!="s"</formula>
    </cfRule>
    <cfRule type="expression" priority="327" dxfId="3" stopIfTrue="1">
      <formula>#REF!="s"</formula>
    </cfRule>
    <cfRule type="expression" priority="328" dxfId="3" stopIfTrue="1">
      <formula>#REF!="s"</formula>
    </cfRule>
    <cfRule type="expression" priority="329" dxfId="3" stopIfTrue="1">
      <formula>#REF!="s"</formula>
    </cfRule>
    <cfRule type="expression" priority="330" dxfId="3" stopIfTrue="1">
      <formula>#REF!="s"</formula>
    </cfRule>
    <cfRule type="expression" priority="331" dxfId="3" stopIfTrue="1">
      <formula>#REF!="s"</formula>
    </cfRule>
    <cfRule type="expression" priority="332" dxfId="3" stopIfTrue="1">
      <formula>#REF!="s"</formula>
    </cfRule>
    <cfRule type="expression" priority="333" dxfId="3" stopIfTrue="1">
      <formula>#REF!="s"</formula>
    </cfRule>
    <cfRule type="expression" priority="334" dxfId="3" stopIfTrue="1">
      <formula>#REF!="s"</formula>
    </cfRule>
    <cfRule type="expression" priority="335" dxfId="3" stopIfTrue="1">
      <formula>#REF!="s"</formula>
    </cfRule>
    <cfRule type="expression" priority="336" dxfId="3" stopIfTrue="1">
      <formula>#REF!="s"</formula>
    </cfRule>
    <cfRule type="expression" priority="337" dxfId="3" stopIfTrue="1">
      <formula>#REF!="s"</formula>
    </cfRule>
    <cfRule type="expression" priority="338" dxfId="3" stopIfTrue="1">
      <formula>#REF!="s"</formula>
    </cfRule>
    <cfRule type="expression" priority="310" dxfId="3" stopIfTrue="1">
      <formula>#REF!="s"</formula>
    </cfRule>
    <cfRule type="expression" priority="296" dxfId="3" stopIfTrue="1">
      <formula>#REF!="s"</formula>
    </cfRule>
    <cfRule type="expression" priority="297" dxfId="3" stopIfTrue="1">
      <formula>#REF!="s"</formula>
    </cfRule>
    <cfRule type="expression" priority="298" dxfId="3" stopIfTrue="1">
      <formula>#REF!="s"</formula>
    </cfRule>
    <cfRule type="expression" priority="299" dxfId="3" stopIfTrue="1">
      <formula>#REF!="s"</formula>
    </cfRule>
    <cfRule type="expression" priority="300" dxfId="3" stopIfTrue="1">
      <formula>#REF!="s"</formula>
    </cfRule>
    <cfRule type="expression" priority="301" dxfId="3" stopIfTrue="1">
      <formula>#REF!="s"</formula>
    </cfRule>
    <cfRule type="expression" priority="302" dxfId="3" stopIfTrue="1">
      <formula>#REF!="s"</formula>
    </cfRule>
    <cfRule type="expression" priority="303" dxfId="3" stopIfTrue="1">
      <formula>#REF!="s"</formula>
    </cfRule>
    <cfRule type="expression" priority="304" dxfId="3" stopIfTrue="1">
      <formula>#REF!="s"</formula>
    </cfRule>
    <cfRule type="expression" priority="305" dxfId="3" stopIfTrue="1">
      <formula>#REF!="s"</formula>
    </cfRule>
    <cfRule type="expression" priority="306" dxfId="3" stopIfTrue="1">
      <formula>#REF!="s"</formula>
    </cfRule>
    <cfRule type="expression" priority="307" dxfId="3" stopIfTrue="1">
      <formula>#REF!="s"</formula>
    </cfRule>
    <cfRule type="expression" priority="308" dxfId="3" stopIfTrue="1">
      <formula>#REF!="s"</formula>
    </cfRule>
    <cfRule type="expression" priority="309" dxfId="3" stopIfTrue="1">
      <formula>#REF!="s"</formula>
    </cfRule>
    <cfRule type="expression" priority="311" dxfId="3" stopIfTrue="1">
      <formula>$CS$17="s"</formula>
    </cfRule>
    <cfRule type="expression" priority="312" dxfId="3" stopIfTrue="1">
      <formula>$CS$18="s"</formula>
    </cfRule>
    <cfRule type="expression" priority="313" dxfId="3" stopIfTrue="1">
      <formula>$CS$19="s"</formula>
    </cfRule>
    <cfRule type="expression" priority="314" dxfId="3" stopIfTrue="1">
      <formula>$CS$21="s"</formula>
    </cfRule>
    <cfRule type="expression" priority="315" dxfId="3" stopIfTrue="1">
      <formula>$CS$22="s"</formula>
    </cfRule>
    <cfRule type="expression" priority="316" dxfId="3" stopIfTrue="1">
      <formula>$CS$23="s"</formula>
    </cfRule>
    <cfRule type="expression" priority="317" dxfId="3" stopIfTrue="1">
      <formula>$CS$25="s"</formula>
    </cfRule>
    <cfRule type="expression" priority="318" dxfId="3" stopIfTrue="1">
      <formula>$CS$36="s"</formula>
    </cfRule>
    <cfRule type="expression" priority="319" dxfId="3" stopIfTrue="1">
      <formula>$CS$40="s"</formula>
    </cfRule>
    <cfRule type="expression" priority="320" dxfId="3" stopIfTrue="1">
      <formula>$CS$41="s"</formula>
    </cfRule>
    <cfRule type="expression" priority="321" dxfId="3" stopIfTrue="1">
      <formula>$CS$42="s"</formula>
    </cfRule>
    <cfRule type="expression" priority="322" dxfId="3" stopIfTrue="1">
      <formula>$CS$43="s"</formula>
    </cfRule>
    <cfRule type="expression" priority="323" dxfId="3" stopIfTrue="1">
      <formula>$CS$51="s"</formula>
    </cfRule>
    <cfRule type="expression" priority="324" dxfId="3" stopIfTrue="1">
      <formula>$CS$60="s"</formula>
    </cfRule>
  </conditionalFormatting>
  <conditionalFormatting sqref="D16:E16 D17:D26 D35:D56 D57:E64 E17:E56 F16:F64 I16:I35 I16:J16 I63:I64 J17:J18">
    <cfRule type="expression" priority="357" dxfId="3" stopIfTrue="1">
      <formula>$CS$17="s"</formula>
    </cfRule>
  </conditionalFormatting>
  <conditionalFormatting sqref="I16:I35 I16:J16 I63:I64 J17:J18">
    <cfRule type="expression" priority="358" dxfId="3" stopIfTrue="1">
      <formula>$CS$18="s"</formula>
    </cfRule>
    <cfRule type="expression" priority="359" dxfId="3" stopIfTrue="1">
      <formula>$CS$19="s"</formula>
    </cfRule>
    <cfRule type="expression" priority="361" dxfId="3" stopIfTrue="1">
      <formula>$CS$21="s"</formula>
    </cfRule>
    <cfRule type="expression" priority="362" dxfId="3" stopIfTrue="1">
      <formula>$CS$22="s"</formula>
    </cfRule>
    <cfRule type="expression" priority="363" dxfId="3" stopIfTrue="1">
      <formula>$CS$23="s"</formula>
    </cfRule>
    <cfRule type="expression" priority="367" dxfId="3" stopIfTrue="1">
      <formula>$CS$36="s"</formula>
    </cfRule>
    <cfRule type="expression" priority="371" dxfId="3" stopIfTrue="1">
      <formula>$CS$40="s"</formula>
    </cfRule>
    <cfRule type="expression" priority="372" dxfId="3" stopIfTrue="1">
      <formula>$CS$41="s"</formula>
    </cfRule>
    <cfRule type="expression" priority="373" dxfId="3" stopIfTrue="1">
      <formula>$CS$42="s"</formula>
    </cfRule>
    <cfRule type="expression" priority="374" dxfId="3" stopIfTrue="1">
      <formula>$CS$43="s"</formula>
    </cfRule>
    <cfRule type="expression" priority="377" dxfId="3" stopIfTrue="1">
      <formula>$CS$51="s"</formula>
    </cfRule>
    <cfRule type="expression" priority="380" dxfId="3" stopIfTrue="1">
      <formula>$CS$60="s"</formula>
    </cfRule>
    <cfRule type="expression" priority="385" dxfId="3" stopIfTrue="1">
      <formula>#REF!="s"</formula>
    </cfRule>
  </conditionalFormatting>
  <conditionalFormatting sqref="I17:I35 I63:I64">
    <cfRule type="expression" priority="365" dxfId="3" stopIfTrue="1">
      <formula>$CS$25="s"</formula>
    </cfRule>
  </conditionalFormatting>
  <conditionalFormatting sqref="I16:J16 J17:J18">
    <cfRule type="expression" priority="366" dxfId="3" stopIfTrue="1">
      <formula>$CS$25="s"</formula>
    </cfRule>
  </conditionalFormatting>
  <conditionalFormatting sqref="I16:J16 I35 I63:I64 J17:J18">
    <cfRule type="expression" priority="386" dxfId="3" stopIfTrue="1">
      <formula>#REF!="s"</formula>
    </cfRule>
  </conditionalFormatting>
  <conditionalFormatting sqref="M13">
    <cfRule type="expression" priority="213" dxfId="16">
      <formula>$M$13=0</formula>
    </cfRule>
  </conditionalFormatting>
  <conditionalFormatting sqref="C6:F6">
    <cfRule type="expression" priority="212" dxfId="14">
      <formula>$C$6=0</formula>
    </cfRule>
  </conditionalFormatting>
  <conditionalFormatting sqref="I5:I6">
    <cfRule type="expression" priority="211" dxfId="14">
      <formula>$I$5=0</formula>
    </cfRule>
  </conditionalFormatting>
  <conditionalFormatting sqref="P11">
    <cfRule type="cellIs" priority="210" operator="equal" dxfId="0" stopIfTrue="1">
      <formula>0</formula>
    </cfRule>
  </conditionalFormatting>
  <conditionalFormatting sqref="G16:G33">
    <cfRule type="expression" priority="198" dxfId="0" stopIfTrue="1">
      <formula>G16=0</formula>
    </cfRule>
  </conditionalFormatting>
  <conditionalFormatting sqref="G34">
    <cfRule type="expression" priority="184" dxfId="0" stopIfTrue="1">
      <formula>G34=0</formula>
    </cfRule>
  </conditionalFormatting>
  <conditionalFormatting sqref="G36 G40 G44 G48 G52 G56 G60">
    <cfRule type="expression" priority="183" dxfId="0" stopIfTrue="1">
      <formula>G36=0</formula>
    </cfRule>
  </conditionalFormatting>
  <conditionalFormatting sqref="G35">
    <cfRule type="expression" priority="182" dxfId="0" stopIfTrue="1">
      <formula>G35=0</formula>
    </cfRule>
  </conditionalFormatting>
  <conditionalFormatting sqref="G37:G38 G41:G42 G45:G46 G49:G50 G53:G54 G57:G58 G61:G62">
    <cfRule type="expression" priority="181" dxfId="0" stopIfTrue="1">
      <formula>G37=0</formula>
    </cfRule>
  </conditionalFormatting>
  <conditionalFormatting sqref="G39 G47 G51 G55 G59 G63:G64">
    <cfRule type="expression" priority="180" dxfId="0" stopIfTrue="1">
      <formula>G39=0</formula>
    </cfRule>
  </conditionalFormatting>
  <conditionalFormatting sqref="G43">
    <cfRule type="expression" priority="103" dxfId="0" stopIfTrue="1">
      <formula>G43=0</formula>
    </cfRule>
  </conditionalFormatting>
  <conditionalFormatting sqref="I16">
    <cfRule type="expression" priority="1" dxfId="3" stopIfTrue="1">
      <formula>$CS$25="s"</formula>
    </cfRule>
  </conditionalFormatting>
  <printOptions horizontalCentered="1" verticalCentered="1"/>
  <pageMargins left="0.7480314960629921" right="0.07874015748031496" top="0.5511811023622047" bottom="0.1181102362204725" header="0" footer="0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s.. tekin</dc:creator>
  <dcterms:created xmlns:dcterms="http://purl.org/dc/terms/" xmlns:xsi="http://www.w3.org/2001/XMLSchema-instance" xsi:type="dcterms:W3CDTF">2018-05-25T23:23:22Z</dcterms:created>
  <dcterms:modified xmlns:dcterms="http://purl.org/dc/terms/" xmlns:xsi="http://www.w3.org/2001/XMLSchema-instance" xsi:type="dcterms:W3CDTF">2026-08-22T10:19:44Z</dcterms:modified>
  <cp:lastModifiedBy>Osman Nuri KÜÇÜK</cp:lastModifiedBy>
  <cp:lastPrinted>2022-10-08T11:20:38Z</cp:lastPrinted>
</cp:coreProperties>
</file>